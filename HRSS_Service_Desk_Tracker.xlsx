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Guide" sheetId="1" state="visible" r:id="rId3"/>
    <sheet name="Dashboard" sheetId="2" state="visible" r:id="rId4"/>
    <sheet name="Request_Tracker" sheetId="3" state="visible" r:id="rId5"/>
    <sheet name="Letter_Generator" sheetId="4" state="visible" r:id="rId6"/>
    <sheet name="Coach_Changes" sheetId="5" state="visible" r:id="rId7"/>
    <sheet name="Bike_to_Work" sheetId="6" state="visible" r:id="rId8"/>
    <sheet name="Eyecare_VDU" sheetId="7" state="visible" r:id="rId9"/>
    <sheet name="Milestones" sheetId="8" state="visible" r:id="rId10"/>
    <sheet name="Quality_Log" sheetId="9" state="visible" r:id="rId11"/>
    <sheet name="Handover_Log" sheetId="10" state="visible" r:id="rId12"/>
    <sheet name="Worker_History" sheetId="11" state="visible" r:id="rId13"/>
    <sheet name="Workday_Concepts" sheetId="12" state="visible" r:id="rId14"/>
    <sheet name="Employees" sheetId="13" state="visible" r:id="rId15"/>
    <sheet name="Lists" sheetId="14" state="visible" r:id="rId16"/>
  </sheets>
  <definedNames>
    <definedName function="false" hidden="true" localSheetId="2" name="_xlnm._FilterDatabase" vbProcedure="false">Request_Tracker!$A$5:$N$205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<sst xmlns="http://schemas.openxmlformats.org/spreadsheetml/2006/main" count="638" uniqueCount="391">
  <si>
    <t xml:space="preserve">HRSS Service Desk Tracker</t>
  </si>
  <si>
    <t xml:space="preserve">Portfolio project - synthetic data only. Built to mirror an HR Support Services (Ireland process) desk.</t>
  </si>
  <si>
    <t xml:space="preserve">Purpose</t>
  </si>
  <si>
    <t xml:space="preserve">Log, track and report HR support requests against SLA, with GDPR-aware data handling.</t>
  </si>
  <si>
    <t xml:space="preserve">SHEET</t>
  </si>
  <si>
    <t xml:space="preserve">WHAT IT DOES</t>
  </si>
  <si>
    <t xml:space="preserve">Dashboard</t>
  </si>
  <si>
    <t xml:space="preserve">KPIs, SLA compliance by request type, scheme volumes, chart. All formulas - updates automatically.</t>
  </si>
  <si>
    <t xml:space="preserve">Request_Tracker</t>
  </si>
  <si>
    <t xml:space="preserve">Master log for all 6 request types. SLA due date, status, SLA result, turnaround auto-calculate.</t>
  </si>
  <si>
    <t xml:space="preserve">Letter_Generator</t>
  </si>
  <si>
    <t xml:space="preserve">Pick an Employee ID -&gt; reference letter and salary certificate text build themselves (replaces manual mail merge).</t>
  </si>
  <si>
    <t xml:space="preserve">Coach_Changes</t>
  </si>
  <si>
    <t xml:space="preserve">Validates coach changes: not self, coach active, capacity limit, not already assigned.</t>
  </si>
  <si>
    <t xml:space="preserve">Bike_to_Work</t>
  </si>
  <si>
    <t xml:space="preserve">Checks item cap and repeat-claim gap before approval.</t>
  </si>
  <si>
    <t xml:space="preserve">Eyecare_VDU</t>
  </si>
  <si>
    <t xml:space="preserve">Checks VDU-user flag and repeat-voucher gap; calculates voucher expiry.</t>
  </si>
  <si>
    <t xml:space="preserve">Milestones</t>
  </si>
  <si>
    <t xml:space="preserve">Perx vouchers, flowers and baby gifts: event -&gt; gift/value lookup, delivery check, dispatch date.</t>
  </si>
  <si>
    <t xml:space="preserve">Quality_Log</t>
  </si>
  <si>
    <t xml:space="preserve">Four-eyes QC log: first-time-right %, errors caught, automatic escalation for wrong-recipient (possible data breach).</t>
  </si>
  <si>
    <t xml:space="preserve">Handover_Log</t>
  </si>
  <si>
    <t xml:space="preserve">Shift handover between agents/time zones: at-risk items, priority actions, acknowledgement.</t>
  </si>
  <si>
    <t xml:space="preserve">Worker_History</t>
  </si>
  <si>
    <t xml:space="preserve">Effective-dated job history + as-of lookup (title/department on a given date) - Workday-style concept.</t>
  </si>
  <si>
    <t xml:space="preserve">Workday_Concepts</t>
  </si>
  <si>
    <t xml:space="preserve">Glossary of Workday-style terms and an illustrative process catalogue for the 6 HRSS tasks (conceptual, not a tenant).</t>
  </si>
  <si>
    <t xml:space="preserve">Employees</t>
  </si>
  <si>
    <t xml:space="preserve">Synthetic employee master (stands in for a Workday worker report).</t>
  </si>
  <si>
    <t xml:space="preserve">Lists</t>
  </si>
  <si>
    <t xml:space="preserve">All configurable rules: SLA days, scheme limits, gift values, holidays, dropdown lists.</t>
  </si>
  <si>
    <t xml:space="preserve">COLOUR LEGEND</t>
  </si>
  <si>
    <t xml:space="preserve">Yellow cell, blue text</t>
  </si>
  <si>
    <t xml:space="preserve">Input - type or pick from dropdown here.</t>
  </si>
  <si>
    <t xml:space="preserve">Grey cell</t>
  </si>
  <si>
    <t xml:space="preserve">Formula - do not overwrite.</t>
  </si>
  <si>
    <t xml:space="preserve">HOW TO USE</t>
  </si>
  <si>
    <t xml:space="preserve">1) Add employee to Employees  2) Log request in Request_Tracker (type, Emp ID, date received, purpose)  3) Do the work (use scheme sheet / Letter_Generator)  4) Enter Date Closed  5) Check Dashboard.</t>
  </si>
  <si>
    <t xml:space="preserve">ASSUMPTIONS</t>
  </si>
  <si>
    <t xml:space="preserve">SLA days, scheme caps/gaps, gift values and the 2026 Irish holiday list are illustrative and editable in Lists. Verify against actual policy and Revenue.ie before real use.</t>
  </si>
  <si>
    <t xml:space="preserve">Report date on Lists!E4 is =TODAY(). Overwrite it with a fixed date to freeze a report.</t>
  </si>
  <si>
    <t xml:space="preserve">SLA is measured in WORKING days (Mon-Fri excluding holidays in Lists). Compliance % = Met / (Met + Breached + Overdue); open items still inside SLA are excluded.</t>
  </si>
  <si>
    <t xml:space="preserve">GDPR</t>
  </si>
  <si>
    <t xml:space="preserve">No real personal data. Salary sits only on Employees (restricted) and Letter_Generator; the tracker shows name only (data minimisation). Every request records a purpose of data access.</t>
  </si>
  <si>
    <t xml:space="preserve">HRSS Dashboard</t>
  </si>
  <si>
    <t xml:space="preserve">Auto-calculated from Request_Tracker. Compliance % = Met / (Met + Breached + Overdue).</t>
  </si>
  <si>
    <t xml:space="preserve">Report date</t>
  </si>
  <si>
    <t xml:space="preserve">Total requests</t>
  </si>
  <si>
    <t xml:space="preserve">Closed</t>
  </si>
  <si>
    <t xml:space="preserve">Open</t>
  </si>
  <si>
    <t xml:space="preserve">Open &amp; overdue</t>
  </si>
  <si>
    <t xml:space="preserve">Closed late (breached)</t>
  </si>
  <si>
    <t xml:space="preserve">SLA compliance %</t>
  </si>
  <si>
    <t xml:space="preserve">Avg turnaround (working days, closed)</t>
  </si>
  <si>
    <t xml:space="preserve">Request Type</t>
  </si>
  <si>
    <t xml:space="preserve">Total</t>
  </si>
  <si>
    <t xml:space="preserve">Met</t>
  </si>
  <si>
    <t xml:space="preserve">Breached</t>
  </si>
  <si>
    <t xml:space="preserve">Overdue</t>
  </si>
  <si>
    <t xml:space="preserve">Open - within SLA</t>
  </si>
  <si>
    <t xml:space="preserve">Compliance %</t>
  </si>
  <si>
    <t xml:space="preserve">TOTAL</t>
  </si>
  <si>
    <t xml:space="preserve">Scheme activity</t>
  </si>
  <si>
    <t xml:space="preserve">Coach changes logged</t>
  </si>
  <si>
    <t xml:space="preserve">  of which valid</t>
  </si>
  <si>
    <t xml:space="preserve">Bike to Work applications</t>
  </si>
  <si>
    <t xml:space="preserve">  of which eligible</t>
  </si>
  <si>
    <t xml:space="preserve">Eyecare vouchers requested</t>
  </si>
  <si>
    <t xml:space="preserve">Milestone gifts logged</t>
  </si>
  <si>
    <t xml:space="preserve">Milestone value (EUR)</t>
  </si>
  <si>
    <t xml:space="preserve">Quality (accuracy) - from Quality_Log</t>
  </si>
  <si>
    <t xml:space="preserve">QC checks performed</t>
  </si>
  <si>
    <t xml:space="preserve">First-time-right %</t>
  </si>
  <si>
    <t xml:space="preserve">Errors caught before release</t>
  </si>
  <si>
    <t xml:space="preserve">Items needing escalation</t>
  </si>
  <si>
    <t xml:space="preserve">Request Tracker</t>
  </si>
  <si>
    <t xml:space="preserve">Yellow = input, grey = formula. SAMPLE DATA in rows 6-17 - overwrite or clear. SLA in working days (see Lists).</t>
  </si>
  <si>
    <t xml:space="preserve">Req ID</t>
  </si>
  <si>
    <t xml:space="preserve">Emp ID</t>
  </si>
  <si>
    <t xml:space="preserve">Employee Name</t>
  </si>
  <si>
    <t xml:space="preserve">Date Received</t>
  </si>
  <si>
    <t xml:space="preserve">SLA (working days)</t>
  </si>
  <si>
    <t xml:space="preserve">Due Date</t>
  </si>
  <si>
    <t xml:space="preserve">Assigned To</t>
  </si>
  <si>
    <t xml:space="preserve">Date Closed</t>
  </si>
  <si>
    <t xml:space="preserve">Status</t>
  </si>
  <si>
    <t xml:space="preserve">SLA Result</t>
  </si>
  <si>
    <t xml:space="preserve">Turnaround (working days)</t>
  </si>
  <si>
    <t xml:space="preserve">Purpose of Data Access</t>
  </si>
  <si>
    <t xml:space="preserve">Notes / Case Ref</t>
  </si>
  <si>
    <t xml:space="preserve">REQ-0001</t>
  </si>
  <si>
    <t xml:space="preserve">Salary Certificate</t>
  </si>
  <si>
    <t xml:space="preserve">E1001</t>
  </si>
  <si>
    <t xml:space="preserve">Agent 1</t>
  </si>
  <si>
    <t xml:space="preserve">Employee-requested document</t>
  </si>
  <si>
    <t xml:space="preserve">Mortgage application</t>
  </si>
  <si>
    <t xml:space="preserve">REQ-0002</t>
  </si>
  <si>
    <t xml:space="preserve">Reference Letter</t>
  </si>
  <si>
    <t xml:space="preserve">E1004</t>
  </si>
  <si>
    <t xml:space="preserve">Agent 2</t>
  </si>
  <si>
    <t xml:space="preserve">Former employee - new employer</t>
  </si>
  <si>
    <t xml:space="preserve">REQ-0003</t>
  </si>
  <si>
    <t xml:space="preserve">Coach Change</t>
  </si>
  <si>
    <t xml:space="preserve">E1002</t>
  </si>
  <si>
    <t xml:space="preserve">Internal HR administration</t>
  </si>
  <si>
    <t xml:space="preserve">Awaiting new coach confirmation</t>
  </si>
  <si>
    <t xml:space="preserve">REQ-0004</t>
  </si>
  <si>
    <t xml:space="preserve">Bike to Work</t>
  </si>
  <si>
    <t xml:space="preserve">E1003</t>
  </si>
  <si>
    <t xml:space="preserve">Benefit administration</t>
  </si>
  <si>
    <t xml:space="preserve">E-bike EUR 1,400</t>
  </si>
  <si>
    <t xml:space="preserve">REQ-0005</t>
  </si>
  <si>
    <t xml:space="preserve">Eyecare / VDU Voucher</t>
  </si>
  <si>
    <t xml:space="preserve">Health &amp; safety (VDU)</t>
  </si>
  <si>
    <t xml:space="preserve">REQ-0006</t>
  </si>
  <si>
    <t xml:space="preserve">Personal Milestone</t>
  </si>
  <si>
    <t xml:space="preserve">Employee recognition</t>
  </si>
  <si>
    <t xml:space="preserve">Baby gift</t>
  </si>
  <si>
    <t xml:space="preserve">REQ-0007</t>
  </si>
  <si>
    <t xml:space="preserve">E1006</t>
  </si>
  <si>
    <t xml:space="preserve">Rental application</t>
  </si>
  <si>
    <t xml:space="preserve">REQ-0008</t>
  </si>
  <si>
    <t xml:space="preserve">E1008</t>
  </si>
  <si>
    <t xml:space="preserve">REQ-0009</t>
  </si>
  <si>
    <t xml:space="preserve">Second copy requested</t>
  </si>
  <si>
    <t xml:space="preserve">REQ-0010</t>
  </si>
  <si>
    <t xml:space="preserve">E1007</t>
  </si>
  <si>
    <t xml:space="preserve">REQ-0011</t>
  </si>
  <si>
    <t xml:space="preserve">E1005</t>
  </si>
  <si>
    <t xml:space="preserve">Bike EUR 950</t>
  </si>
  <si>
    <t xml:space="preserve">REQ-0012</t>
  </si>
  <si>
    <t xml:space="preserve">Visa application</t>
  </si>
  <si>
    <t xml:space="preserve">Letter Generator</t>
  </si>
  <si>
    <t xml:space="preserve">Enter Employee ID, purpose and issuer (yellow). Letters below build automatically - copy into Word / PDF.</t>
  </si>
  <si>
    <t xml:space="preserve">Employee ID</t>
  </si>
  <si>
    <t xml:space="preserve">Purpose (salary cert)</t>
  </si>
  <si>
    <t xml:space="preserve">Issuer</t>
  </si>
  <si>
    <t xml:space="preserve">HRSS Agent 1</t>
  </si>
  <si>
    <t xml:space="preserve">Letter date</t>
  </si>
  <si>
    <t xml:space="preserve">Row of employee</t>
  </si>
  <si>
    <t xml:space="preserve">Name</t>
  </si>
  <si>
    <t xml:space="preserve">Job title</t>
  </si>
  <si>
    <t xml:space="preserve">Department</t>
  </si>
  <si>
    <t xml:space="preserve">Grade</t>
  </si>
  <si>
    <t xml:space="preserve">Hire date</t>
  </si>
  <si>
    <t xml:space="preserve">End date</t>
  </si>
  <si>
    <t xml:space="preserve">Annual salary (EUR)</t>
  </si>
  <si>
    <t xml:space="preserve">Reference letter status</t>
  </si>
  <si>
    <t xml:space="preserve">Salary certificate status</t>
  </si>
  <si>
    <t xml:space="preserve">Coach Changes</t>
  </si>
  <si>
    <t xml:space="preserve">Validation column checks rules before the change is actioned. SAMPLE rows 5-6.</t>
  </si>
  <si>
    <t xml:space="preserve">Date Requested</t>
  </si>
  <si>
    <t xml:space="preserve">Current Coach ID</t>
  </si>
  <si>
    <t xml:space="preserve">New Coach ID</t>
  </si>
  <si>
    <t xml:space="preserve">New Coach Name</t>
  </si>
  <si>
    <t xml:space="preserve">New Coach Status</t>
  </si>
  <si>
    <t xml:space="preserve">New Coach Current Load</t>
  </si>
  <si>
    <t xml:space="preserve">Capacity Check</t>
  </si>
  <si>
    <t xml:space="preserve">Validation</t>
  </si>
  <si>
    <t xml:space="preserve">Approved By</t>
  </si>
  <si>
    <t xml:space="preserve">Completed</t>
  </si>
  <si>
    <t xml:space="preserve">Pending</t>
  </si>
  <si>
    <t xml:space="preserve">Bike to Work Scheme</t>
  </si>
  <si>
    <t xml:space="preserve">Caps and gap come from Lists (assumptions - verify against policy). SAMPLE rows 5-6.</t>
  </si>
  <si>
    <t xml:space="preserve">Date Applied</t>
  </si>
  <si>
    <t xml:space="preserve">Employment Status</t>
  </si>
  <si>
    <t xml:space="preserve">Item Type</t>
  </si>
  <si>
    <t xml:space="preserve">Cost (EUR)</t>
  </si>
  <si>
    <t xml:space="preserve">Cap (EUR)</t>
  </si>
  <si>
    <t xml:space="preserve">Within Cap?</t>
  </si>
  <si>
    <t xml:space="preserve">Previous Claim Date</t>
  </si>
  <si>
    <t xml:space="preserve">Eligibility</t>
  </si>
  <si>
    <t xml:space="preserve">Notes</t>
  </si>
  <si>
    <t xml:space="preserve">E-bike</t>
  </si>
  <si>
    <t xml:space="preserve">Approved</t>
  </si>
  <si>
    <t xml:space="preserve">Sample</t>
  </si>
  <si>
    <t xml:space="preserve">Bike</t>
  </si>
  <si>
    <t xml:space="preserve">Prior claim 2024 - should flag</t>
  </si>
  <si>
    <t xml:space="preserve">Eyecare / VDU Vouchers</t>
  </si>
  <si>
    <t xml:space="preserve">Eligibility: active + registered VDU user + gap since last voucher (Lists). SAMPLE rows 5-6.</t>
  </si>
  <si>
    <t xml:space="preserve">VDU User?</t>
  </si>
  <si>
    <t xml:space="preserve">Last Voucher Date</t>
  </si>
  <si>
    <t xml:space="preserve">Voucher Code</t>
  </si>
  <si>
    <t xml:space="preserve">Expiry Date</t>
  </si>
  <si>
    <t xml:space="preserve">VDU-E1001-0924</t>
  </si>
  <si>
    <t xml:space="preserve">Not a VDU user - should flag</t>
  </si>
  <si>
    <t xml:space="preserve">Personal Milestones (Perx / Flowers / Baby Gifts)</t>
  </si>
  <si>
    <t xml:space="preserve">Gift and value look up from Lists. SAMPLE rows 5-6.</t>
  </si>
  <si>
    <t xml:space="preserve">Event Date</t>
  </si>
  <si>
    <t xml:space="preserve">Event</t>
  </si>
  <si>
    <t xml:space="preserve">Gift Type</t>
  </si>
  <si>
    <t xml:space="preserve">Value (EUR)</t>
  </si>
  <si>
    <t xml:space="preserve">Delivery Details Verified?</t>
  </si>
  <si>
    <t xml:space="preserve">Dispatched Date</t>
  </si>
  <si>
    <t xml:space="preserve">Personal Message</t>
  </si>
  <si>
    <t xml:space="preserve">Baby</t>
  </si>
  <si>
    <t xml:space="preserve">Yes</t>
  </si>
  <si>
    <t xml:space="preserve">Congratulations on the new arrival!</t>
  </si>
  <si>
    <t xml:space="preserve">Long service</t>
  </si>
  <si>
    <t xml:space="preserve">No</t>
  </si>
  <si>
    <t xml:space="preserve">Thank you for 16 years of service.</t>
  </si>
  <si>
    <t xml:space="preserve">Quality Log (four-eyes checks)</t>
  </si>
  <si>
    <t xml:space="preserve">Log every pre-release check. Fail + 'Wrong recipient' = possible personal-data breach -&gt; escalate at once. SAMPLE rows 5-16.</t>
  </si>
  <si>
    <t xml:space="preserve">Date Checked</t>
  </si>
  <si>
    <t xml:space="preserve">Checker</t>
  </si>
  <si>
    <t xml:space="preserve">Result</t>
  </si>
  <si>
    <t xml:space="preserve">Error Category</t>
  </si>
  <si>
    <t xml:space="preserve">Corrected Before Release?</t>
  </si>
  <si>
    <t xml:space="preserve">Escalation / Action</t>
  </si>
  <si>
    <t xml:space="preserve">Pass</t>
  </si>
  <si>
    <t xml:space="preserve">Fail</t>
  </si>
  <si>
    <t xml:space="preserve">Wrong recipient</t>
  </si>
  <si>
    <t xml:space="preserve">SAMPLE incident - demonstrates the breach escalation rule</t>
  </si>
  <si>
    <t xml:space="preserve">Wrong salary figure</t>
  </si>
  <si>
    <t xml:space="preserve">Typo caught at four-eyes check before sending</t>
  </si>
  <si>
    <t xml:space="preserve">Shift Handover Log</t>
  </si>
  <si>
    <t xml:space="preserve">Shared-services handover: nothing at risk is left unannounced. SAMPLE rows 6-8.</t>
  </si>
  <si>
    <t xml:space="preserve">Live: open requests due within 1 working day  -&gt;</t>
  </si>
  <si>
    <t xml:space="preserve">Date</t>
  </si>
  <si>
    <t xml:space="preserve">Shift</t>
  </si>
  <si>
    <t xml:space="preserve">Handed Over By</t>
  </si>
  <si>
    <t xml:space="preserve">Handed Over To</t>
  </si>
  <si>
    <t xml:space="preserve">Open Items Handed Over</t>
  </si>
  <si>
    <t xml:space="preserve">At-Risk Req IDs</t>
  </si>
  <si>
    <t xml:space="preserve">Priority Actions for Next Shift</t>
  </si>
  <si>
    <t xml:space="preserve">Customer Comms Pending?</t>
  </si>
  <si>
    <t xml:space="preserve">Escalations Raised</t>
  </si>
  <si>
    <t xml:space="preserve">Acknowledged by Receiving Agent?</t>
  </si>
  <si>
    <t xml:space="preserve">Shift A (13:30-22:30 IST)</t>
  </si>
  <si>
    <t xml:space="preserve">Complete QC on REQ-0009; chase new-coach confirmation for REQ-0010</t>
  </si>
  <si>
    <t xml:space="preserve">None</t>
  </si>
  <si>
    <t xml:space="preserve">REQ-0009, REQ-0010</t>
  </si>
  <si>
    <t xml:space="preserve">Issue REQ-0009 before 22:30 IST; confirm coach for REQ-0010</t>
  </si>
  <si>
    <t xml:space="preserve">REQ-0010 to Team Lead (coach not responding)</t>
  </si>
  <si>
    <t xml:space="preserve">Shift B (14:00-23:00 IST)</t>
  </si>
  <si>
    <t xml:space="preserve">Salary certificate REQ-0012 due next working day - verify amount, four-eyes check</t>
  </si>
  <si>
    <t xml:space="preserve">Worker History - effective dating &amp; as-of lookup</t>
  </si>
  <si>
    <t xml:space="preserve">Workday-style concept (synthetic). Try E1003 as-of 01-Jan-2020 (Senior Consultant, Audit) vs 01-Jan-2023 (Manager, Advisory): data depends on the date. E1004 as-of 31-May-2023 = title at leaving.</t>
  </si>
  <si>
    <t xml:space="preserve">Effective Date</t>
  </si>
  <si>
    <t xml:space="preserve">Job Title</t>
  </si>
  <si>
    <t xml:space="preserve">AS-OF LOOKUP</t>
  </si>
  <si>
    <t xml:space="preserve">Hire</t>
  </si>
  <si>
    <t xml:space="preserve">Analyst</t>
  </si>
  <si>
    <t xml:space="preserve">Audit</t>
  </si>
  <si>
    <t xml:space="preserve">Associate</t>
  </si>
  <si>
    <t xml:space="preserve">Promotion</t>
  </si>
  <si>
    <t xml:space="preserve">Consultant</t>
  </si>
  <si>
    <t xml:space="preserve">As-of date</t>
  </si>
  <si>
    <t xml:space="preserve">Senior Consultant</t>
  </si>
  <si>
    <t xml:space="preserve">Senior</t>
  </si>
  <si>
    <t xml:space="preserve">Effective record date</t>
  </si>
  <si>
    <t xml:space="preserve">Transfer + Promotion</t>
  </si>
  <si>
    <t xml:space="preserve">Manager</t>
  </si>
  <si>
    <t xml:space="preserve">Advisory</t>
  </si>
  <si>
    <t xml:space="preserve">Row (helper)</t>
  </si>
  <si>
    <t xml:space="preserve">Termination</t>
  </si>
  <si>
    <t xml:space="preserve">Workday-style concepts (conceptual - not a tenant)</t>
  </si>
  <si>
    <t xml:space="preserve">Learning aid. Names, security and processes differ by organisation. No live Workday tenant was used to build this project.</t>
  </si>
  <si>
    <t xml:space="preserve">Term</t>
  </si>
  <si>
    <t xml:space="preserve">Plain-English meaning</t>
  </si>
  <si>
    <t xml:space="preserve">Why it matters in HRSS</t>
  </si>
  <si>
    <t xml:space="preserve">Where it appears in this project</t>
  </si>
  <si>
    <t xml:space="preserve">Employee ID / Worker</t>
  </si>
  <si>
    <t xml:space="preserve">Unique identifier for each person in the HR system.</t>
  </si>
  <si>
    <t xml:space="preserve">Search by ID, not name, to avoid mix-ups between similar names.</t>
  </si>
  <si>
    <t xml:space="preserve">Emp ID column on every sheet</t>
  </si>
  <si>
    <t xml:space="preserve">Worker status</t>
  </si>
  <si>
    <t xml:space="preserve">Whether the person is active, on leave or terminated.</t>
  </si>
  <si>
    <t xml:space="preserve">Drives eligibility - e.g. salary certificates are for active employees only.</t>
  </si>
  <si>
    <t xml:space="preserve">Status column; Letter_Generator readiness check</t>
  </si>
  <si>
    <t xml:space="preserve">Effective date</t>
  </si>
  <si>
    <t xml:space="preserve">The date a change takes effect (can be past or future).</t>
  </si>
  <si>
    <t xml:space="preserve">A reference letter must show title/department as at the correct date.</t>
  </si>
  <si>
    <t xml:space="preserve">Worker_History as-of lookup</t>
  </si>
  <si>
    <t xml:space="preserve">Supervisory organisation</t>
  </si>
  <si>
    <t xml:space="preserve">The reporting hierarchy / team structure under a manager.</t>
  </si>
  <si>
    <t xml:space="preserve">Shows department and reporting line for letters and routing.</t>
  </si>
  <si>
    <t xml:space="preserve">Department column</t>
  </si>
  <si>
    <t xml:space="preserve">Business process</t>
  </si>
  <si>
    <t xml:space="preserve">A configured workflow (initiate -&gt; approve -&gt; complete) for an HR event.</t>
  </si>
  <si>
    <t xml:space="preserve">Know who must approve before data is changed; avoid bypassing approvals.</t>
  </si>
  <si>
    <t xml:space="preserve">Process catalogue below; SOPs</t>
  </si>
  <si>
    <t xml:space="preserve">Inbox task</t>
  </si>
  <si>
    <t xml:space="preserve">An action item sent to a processor or approver.</t>
  </si>
  <si>
    <t xml:space="preserve">Request timing often starts when the task or case arrives - drives SLA.</t>
  </si>
  <si>
    <t xml:space="preserve">Date Received / Request_Tracker</t>
  </si>
  <si>
    <t xml:space="preserve">Security domain / group</t>
  </si>
  <si>
    <t xml:space="preserve">Rules controlling who can see or edit certain data (e.g. compensation).</t>
  </si>
  <si>
    <t xml:space="preserve">Why salary data is restricted and purpose-limited.</t>
  </si>
  <si>
    <t xml:space="preserve">Salary column marked RESTRICTED</t>
  </si>
  <si>
    <t xml:space="preserve">Report (custom / RaaS-style)</t>
  </si>
  <si>
    <t xml:space="preserve">A saved report on worker data used for lookups and audits.</t>
  </si>
  <si>
    <t xml:space="preserve">Source of truth for verifying details before issuing documents.</t>
  </si>
  <si>
    <t xml:space="preserve">Employees sheet mimics a worker report</t>
  </si>
  <si>
    <t xml:space="preserve">Job profile / business title</t>
  </si>
  <si>
    <t xml:space="preserve">Standard job definition vs the title displayed to others.</t>
  </si>
  <si>
    <t xml:space="preserve">Letters must use the correct, approved title.</t>
  </si>
  <si>
    <t xml:space="preserve">Job Title column; Worker_History</t>
  </si>
  <si>
    <t xml:space="preserve">Case</t>
  </si>
  <si>
    <t xml:space="preserve">A tracked service request in HR case management.</t>
  </si>
  <si>
    <t xml:space="preserve">Every request needs an owner, timestamps and closure.</t>
  </si>
  <si>
    <t xml:space="preserve">Each Request_Tracker row</t>
  </si>
  <si>
    <t xml:space="preserve">Illustrative process catalogue - the 6 HRSS tasks (assumed; tenant-specific in real life)</t>
  </si>
  <si>
    <t xml:space="preserve">HRSS task</t>
  </si>
  <si>
    <t xml:space="preserve">Typical HR-system area (illustrative)</t>
  </si>
  <si>
    <t xml:space="preserve">Typical steps</t>
  </si>
  <si>
    <t xml:space="preserve">Data sensitivity / key control</t>
  </si>
  <si>
    <t xml:space="preserve">Reference letter</t>
  </si>
  <si>
    <t xml:space="preserve">Worker profile and reports (view-only); effective-dated job data</t>
  </si>
  <si>
    <t xml:space="preserve">Verify requester -&gt; look up hire/end dates and title as at effective date -&gt; generate -&gt; four-eyes check -&gt; send</t>
  </si>
  <si>
    <t xml:space="preserve">Medium - facts only; correct recipient</t>
  </si>
  <si>
    <t xml:space="preserve">Salary certificate</t>
  </si>
  <si>
    <t xml:space="preserve">Compensation data (restricted security domain)</t>
  </si>
  <si>
    <t xml:space="preserve">Verify requester and purpose -&gt; confirm active status -&gt; verify gross salary -&gt; second check -&gt; send to employee only</t>
  </si>
  <si>
    <t xml:space="preserve">HIGH - restricted; purpose limitation</t>
  </si>
  <si>
    <t xml:space="preserve">Coach change</t>
  </si>
  <si>
    <t xml:space="preserve">Assignment / relationship update (often tenant-specific or custom)</t>
  </si>
  <si>
    <t xml:space="preserve">Validate new coach -&gt; confirm with coach -&gt; update assignment -&gt; notify all parties</t>
  </si>
  <si>
    <t xml:space="preserve">Medium - need-to-know on reason</t>
  </si>
  <si>
    <t xml:space="preserve">Benefits / scheme administration with provider and payroll hand-off</t>
  </si>
  <si>
    <t xml:space="preserve">Check eligibility and cap -&gt; approve -&gt; hand to scheme provider/payroll -&gt; track</t>
  </si>
  <si>
    <t xml:space="preserve">Medium - financial data; audit evidence</t>
  </si>
  <si>
    <t xml:space="preserve">Eyecare / VDU voucher</t>
  </si>
  <si>
    <t xml:space="preserve">Health &amp; safety entitlement (may sit outside the HR system)</t>
  </si>
  <si>
    <t xml:space="preserve">Check VDU flag and gap -&gt; issue code -&gt; record expiry</t>
  </si>
  <si>
    <t xml:space="preserve">Medium - record entitlement only, never results</t>
  </si>
  <si>
    <t xml:space="preserve">Personal milestones</t>
  </si>
  <si>
    <t xml:space="preserve">Recognition; life-event data may be restricted</t>
  </si>
  <si>
    <t xml:space="preserve">Verify event -&gt; verify delivery details -&gt; personalise message -&gt; order/issue -&gt; record dispatch</t>
  </si>
  <si>
    <t xml:space="preserve">HIGH - sensitive life events; need-to-know</t>
  </si>
  <si>
    <t xml:space="preserve">Employees (synthetic)</t>
  </si>
  <si>
    <t xml:space="preserve">Stands in for a Workday worker report. Salary column is RESTRICTED data - exclude from general support views.</t>
  </si>
  <si>
    <t xml:space="preserve">Email</t>
  </si>
  <si>
    <t xml:space="preserve">Hire Date</t>
  </si>
  <si>
    <t xml:space="preserve">End Date</t>
  </si>
  <si>
    <t xml:space="preserve">Coach ID</t>
  </si>
  <si>
    <t xml:space="preserve">Annual Salary (EUR) - RESTRICTED</t>
  </si>
  <si>
    <t xml:space="preserve">Aoife Murphy</t>
  </si>
  <si>
    <t xml:space="preserve">aoife.murphy@example.com</t>
  </si>
  <si>
    <t xml:space="preserve">active</t>
  </si>
  <si>
    <t xml:space="preserve">Conor Walsh</t>
  </si>
  <si>
    <t xml:space="preserve">conor.walsh@example.com</t>
  </si>
  <si>
    <t xml:space="preserve">Tax</t>
  </si>
  <si>
    <t xml:space="preserve">Niamh Byrne</t>
  </si>
  <si>
    <t xml:space="preserve">niamh.byrne@example.com</t>
  </si>
  <si>
    <t xml:space="preserve">Sean Doyle</t>
  </si>
  <si>
    <t xml:space="preserve">sean.doyle@example.com</t>
  </si>
  <si>
    <t xml:space="preserve">former</t>
  </si>
  <si>
    <t xml:space="preserve">Ciara Kelly</t>
  </si>
  <si>
    <t xml:space="preserve">ciara.kelly@example.com</t>
  </si>
  <si>
    <t xml:space="preserve">Senior Manager</t>
  </si>
  <si>
    <t xml:space="preserve">Liam O'Brien</t>
  </si>
  <si>
    <t xml:space="preserve">liam.obrien@example.com</t>
  </si>
  <si>
    <t xml:space="preserve">Director</t>
  </si>
  <si>
    <t xml:space="preserve">Emma Ryan</t>
  </si>
  <si>
    <t xml:space="preserve">emma.ryan@example.com</t>
  </si>
  <si>
    <t xml:space="preserve">Patrick Nolan</t>
  </si>
  <si>
    <t xml:space="preserve">patrick.nolan@example.com</t>
  </si>
  <si>
    <t xml:space="preserve">Lists &amp; Business Rules</t>
  </si>
  <si>
    <t xml:space="preserve">Edit blue cells to change rules; all sheets update. Illustrative assumptions - verify against real policy.</t>
  </si>
  <si>
    <t xml:space="preserve">Parameter</t>
  </si>
  <si>
    <t xml:space="preserve">Value</t>
  </si>
  <si>
    <t xml:space="preserve">Note</t>
  </si>
  <si>
    <t xml:space="preserve">Milestone Event</t>
  </si>
  <si>
    <t xml:space="preserve">Irish public holidays 2026 (sample)</t>
  </si>
  <si>
    <t xml:space="preserve">Lawful purpose of access</t>
  </si>
  <si>
    <t xml:space="preserve">Scheme status</t>
  </si>
  <si>
    <t xml:space="preserve">Bike item type</t>
  </si>
  <si>
    <t xml:space="preserve">Overwrite with a fixed date to freeze reports</t>
  </si>
  <si>
    <t xml:space="preserve">Baby gift hamper</t>
  </si>
  <si>
    <t xml:space="preserve">Bike to Work cap - bike (EUR)</t>
  </si>
  <si>
    <t xml:space="preserve">Assumption - verify against current scheme rules</t>
  </si>
  <si>
    <t xml:space="preserve">Wedding</t>
  </si>
  <si>
    <t xml:space="preserve">Perx voucher</t>
  </si>
  <si>
    <t xml:space="preserve">Bike to Work cap - e-bike (EUR)</t>
  </si>
  <si>
    <t xml:space="preserve">Bereavement</t>
  </si>
  <si>
    <t xml:space="preserve">Flowers</t>
  </si>
  <si>
    <t xml:space="preserve">Rejected</t>
  </si>
  <si>
    <t xml:space="preserve">Bike claim gap (years)</t>
  </si>
  <si>
    <t xml:space="preserve">Assumption - minimum gap between claims</t>
  </si>
  <si>
    <t xml:space="preserve">Eyecare gap (months)</t>
  </si>
  <si>
    <t xml:space="preserve">Assumption - minimum gap between vouchers</t>
  </si>
  <si>
    <t xml:space="preserve">Illness</t>
  </si>
  <si>
    <t xml:space="preserve">Voucher validity (days)</t>
  </si>
  <si>
    <t xml:space="preserve">Assumption</t>
  </si>
  <si>
    <t xml:space="preserve">Ad-hoc / Other</t>
  </si>
  <si>
    <t xml:space="preserve">Max coachees per coach</t>
  </si>
  <si>
    <t xml:space="preserve">Company name</t>
  </si>
  <si>
    <t xml:space="preserve">Example Company Ltd (Demo)</t>
  </si>
  <si>
    <t xml:space="preserve">Used on letters; placeholder</t>
  </si>
</sst>
</file>

<file path=xl/styles.xml><?xml version="1.0" encoding="utf-8"?>
<styleSheet xmlns="http://schemas.openxmlformats.org/spreadsheetml/2006/main">
  <numFmts count="8">
    <numFmt numFmtId="164" formatCode="General"/>
    <numFmt numFmtId="165" formatCode="dd\-mmm\-yyyy"/>
    <numFmt numFmtId="166" formatCode="0"/>
    <numFmt numFmtId="167" formatCode="0.0%"/>
    <numFmt numFmtId="168" formatCode="0.0"/>
    <numFmt numFmtId="169" formatCode="General"/>
    <numFmt numFmtId="170" formatCode="#,##0.00"/>
    <numFmt numFmtId="171"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595959"/>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b val="true"/>
      <sz val="18"/>
      <color rgb="FF000000"/>
      <name val="Calibri"/>
      <family val="2"/>
    </font>
    <font>
      <sz val="10"/>
      <color rgb="FF000000"/>
      <name val="Calibri"/>
      <family val="2"/>
    </font>
    <font>
      <b val="true"/>
      <sz val="14"/>
      <color rgb="FFC0000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9DB"/>
        <bgColor rgb="FFFFFFFF"/>
      </patternFill>
    </fill>
    <fill>
      <patternFill patternType="solid">
        <fgColor rgb="FFEDEDED"/>
        <bgColor rgb="FFFFF9DB"/>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fals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false" applyAlignment="true" applyProtection="false">
      <alignment horizontal="general" vertical="top" textRotation="0" wrapText="false" indent="0" shrinkToFit="false"/>
      <protection locked="true" hidden="false"/>
    </xf>
    <xf numFmtId="164" fontId="6" fillId="4"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6" fontId="4" fillId="0" borderId="1" xfId="0" applyFont="true" applyBorder="true" applyAlignment="true" applyProtection="false">
      <alignment horizontal="center" vertical="bottom" textRotation="0" wrapText="false" indent="0" shrinkToFit="false"/>
      <protection locked="true" hidden="false"/>
    </xf>
    <xf numFmtId="167" fontId="4" fillId="0" borderId="1" xfId="0" applyFont="true" applyBorder="true" applyAlignment="true" applyProtection="false">
      <alignment horizontal="center" vertical="bottom" textRotation="0" wrapText="false" indent="0" shrinkToFit="false"/>
      <protection locked="true" hidden="false"/>
    </xf>
    <xf numFmtId="168" fontId="4"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true" applyProtection="false">
      <alignment horizontal="center"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true" applyProtection="false">
      <alignment horizontal="center" vertical="bottom" textRotation="0" wrapText="false" indent="0" shrinkToFit="false"/>
      <protection locked="true" hidden="false"/>
    </xf>
    <xf numFmtId="167" fontId="6"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9" fontId="7" fillId="4" borderId="1" xfId="0" applyFont="true" applyBorder="true" applyAlignment="false" applyProtection="false">
      <alignment horizontal="general" vertical="bottom" textRotation="0" wrapText="fals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69" fontId="7" fillId="4" borderId="1" xfId="0" applyFont="true" applyBorder="true" applyAlignment="true" applyProtection="false">
      <alignment horizontal="left" vertical="bottom" textRotation="0" wrapText="false" indent="0" shrinkToFit="false"/>
      <protection locked="true" hidden="false"/>
    </xf>
    <xf numFmtId="165" fontId="7" fillId="4" borderId="1" xfId="0" applyFont="true" applyBorder="true" applyAlignment="true" applyProtection="false">
      <alignment horizontal="left" vertical="bottom" textRotation="0" wrapText="false" indent="0" shrinkToFit="false"/>
      <protection locked="true" hidden="false"/>
    </xf>
    <xf numFmtId="170" fontId="7" fillId="4" borderId="1" xfId="0" applyFont="true" applyBorder="true" applyAlignment="true" applyProtection="false">
      <alignment horizontal="left"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8" fillId="2" borderId="2" xfId="0" applyFont="true" applyBorder="true" applyAlignment="false" applyProtection="false">
      <alignment horizontal="general" vertical="bottom" textRotation="0" wrapText="false" indent="0" shrinkToFit="false"/>
      <protection locked="true" hidden="false"/>
    </xf>
    <xf numFmtId="171" fontId="9" fillId="3" borderId="1" xfId="0" applyFont="true" applyBorder="true" applyAlignment="false" applyProtection="false">
      <alignment horizontal="general" vertical="bottom" textRotation="0" wrapText="false" indent="0" shrinkToFit="false"/>
      <protection locked="true" hidden="false"/>
    </xf>
    <xf numFmtId="171" fontId="7" fillId="4" borderId="1" xfId="0" applyFont="true" applyBorder="tru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3864"/>
          <bgColor rgb="FF000000"/>
        </patternFill>
      </fill>
    </dxf>
    <dxf>
      <fill>
        <patternFill patternType="solid">
          <fgColor rgb="FFFFF9DB"/>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EDEDED"/>
          <bgColor rgb="FF000000"/>
        </patternFill>
      </fill>
    </dxf>
    <dxf>
      <fill>
        <patternFill patternType="solid">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9C5700"/>
          <bgColor rgb="FF000000"/>
        </patternFill>
      </fill>
    </dxf>
    <dxf>
      <font>
        <name val="Arial"/>
        <charset val="1"/>
        <family val="0"/>
        <b val="1"/>
        <color rgb="FF9C0006"/>
      </font>
      <fill>
        <patternFill>
          <bgColor rgb="FFFFC7CE"/>
        </patternFill>
      </fill>
    </dxf>
    <dxf>
      <font>
        <name val="Arial"/>
        <charset val="1"/>
        <family val="0"/>
        <color rgb="FF006100"/>
      </font>
      <fill>
        <patternFill>
          <bgColor rgb="FFC6EFCE"/>
        </patternFill>
      </fill>
    </dxf>
    <dxf>
      <font>
        <name val="Arial"/>
        <charset val="1"/>
        <family val="0"/>
        <color rgb="FF9C5700"/>
      </font>
      <fill>
        <patternFill>
          <bgColor rgb="FFFFEB9C"/>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548235"/>
      <rgbColor rgb="FF800080"/>
      <rgbColor rgb="FF008080"/>
      <rgbColor rgb="FFBFBFBF"/>
      <rgbColor rgb="FF7F7F7F"/>
      <rgbColor rgb="FFA6A6A6"/>
      <rgbColor rgb="FF7030A0"/>
      <rgbColor rgb="FFFFF9DB"/>
      <rgbColor rgb="FFEDEDED"/>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2E75B6"/>
      <rgbColor rgb="FF33CCCC"/>
      <rgbColor rgb="FF99CC00"/>
      <rgbColor rgb="FFFFCC00"/>
      <rgbColor rgb="FFFF9900"/>
      <rgbColor rgb="FFED7D31"/>
      <rgbColor rgb="FF595959"/>
      <rgbColor rgb="FF878787"/>
      <rgbColor rgb="FF1F3864"/>
      <rgbColor rgb="FF70AD47"/>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SLA outcome by request type</a:t>
            </a:r>
          </a:p>
        </c:rich>
      </c:tx>
      <c:overlay val="0"/>
      <c:spPr>
        <a:noFill/>
        <a:ln w="0">
          <a:noFill/>
        </a:ln>
      </c:spPr>
    </c:title>
    <c:autoTitleDeleted val="0"/>
    <c:plotArea>
      <c:barChart>
        <c:barDir val="bar"/>
        <c:grouping val="stacked"/>
        <c:varyColors val="0"/>
        <c:ser>
          <c:idx val="0"/>
          <c:order val="0"/>
          <c:tx>
            <c:strRef>
              <c:f>Dashboard!C9</c:f>
              <c:strCache>
                <c:ptCount val="1"/>
                <c:pt idx="0">
                  <c:v>Met</c:v>
                </c:pt>
              </c:strCache>
            </c:strRef>
          </c:tx>
          <c:spPr>
            <a:solidFill>
              <a:srgbClr val="70ad4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Dashboard!$A$10:$A$16</c:f>
              <c:strCache>
                <c:ptCount val="7"/>
                <c:pt idx="0">
                  <c:v>Reference Letter</c:v>
                </c:pt>
                <c:pt idx="1">
                  <c:v>Salary Certificate</c:v>
                </c:pt>
                <c:pt idx="2">
                  <c:v>Coach Change</c:v>
                </c:pt>
                <c:pt idx="3">
                  <c:v>Bike to Work</c:v>
                </c:pt>
                <c:pt idx="4">
                  <c:v>Eyecare / VDU Voucher</c:v>
                </c:pt>
                <c:pt idx="5">
                  <c:v>Personal Milestone</c:v>
                </c:pt>
                <c:pt idx="6">
                  <c:v>Ad-hoc / Other</c:v>
                </c:pt>
              </c:strCache>
            </c:strRef>
          </c:cat>
          <c:val>
            <c:numRef>
              <c:f>Dashboard!$C$10:$C$16</c:f>
              <c:numCache>
                <c:formatCode>General</c:formatCode>
                <c:ptCount val="7"/>
                <c:pt idx="0">
                  <c:v>2</c:v>
                </c:pt>
                <c:pt idx="1">
                  <c:v>1</c:v>
                </c:pt>
                <c:pt idx="2">
                  <c:v>0</c:v>
                </c:pt>
                <c:pt idx="3">
                  <c:v>1</c:v>
                </c:pt>
                <c:pt idx="4">
                  <c:v>1</c:v>
                </c:pt>
                <c:pt idx="5">
                  <c:v>1</c:v>
                </c:pt>
                <c:pt idx="6">
                  <c:v>0</c:v>
                </c:pt>
              </c:numCache>
            </c:numRef>
          </c:val>
        </c:ser>
        <c:ser>
          <c:idx val="1"/>
          <c:order val="1"/>
          <c:tx>
            <c:strRef>
              <c:f>Dashboard!D9</c:f>
              <c:strCache>
                <c:ptCount val="1"/>
                <c:pt idx="0">
                  <c:v>Breached</c:v>
                </c:pt>
              </c:strCache>
            </c:strRef>
          </c:tx>
          <c:spPr>
            <a:solidFill>
              <a:srgbClr val="c0000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Dashboard!$A$10:$A$16</c:f>
              <c:strCache>
                <c:ptCount val="7"/>
                <c:pt idx="0">
                  <c:v>Reference Letter</c:v>
                </c:pt>
                <c:pt idx="1">
                  <c:v>Salary Certificate</c:v>
                </c:pt>
                <c:pt idx="2">
                  <c:v>Coach Change</c:v>
                </c:pt>
                <c:pt idx="3">
                  <c:v>Bike to Work</c:v>
                </c:pt>
                <c:pt idx="4">
                  <c:v>Eyecare / VDU Voucher</c:v>
                </c:pt>
                <c:pt idx="5">
                  <c:v>Personal Milestone</c:v>
                </c:pt>
                <c:pt idx="6">
                  <c:v>Ad-hoc / Other</c:v>
                </c:pt>
              </c:strCache>
            </c:strRef>
          </c:cat>
          <c:val>
            <c:numRef>
              <c:f>Dashboard!$D$10:$D$16</c:f>
              <c:numCache>
                <c:formatCode>General</c:formatCode>
                <c:ptCount val="7"/>
                <c:pt idx="0">
                  <c:v>0</c:v>
                </c:pt>
                <c:pt idx="1">
                  <c:v>1</c:v>
                </c:pt>
                <c:pt idx="2">
                  <c:v>1</c:v>
                </c:pt>
                <c:pt idx="3">
                  <c:v>0</c:v>
                </c:pt>
                <c:pt idx="4">
                  <c:v>0</c:v>
                </c:pt>
                <c:pt idx="5">
                  <c:v>0</c:v>
                </c:pt>
                <c:pt idx="6">
                  <c:v>0</c:v>
                </c:pt>
              </c:numCache>
            </c:numRef>
          </c:val>
        </c:ser>
        <c:ser>
          <c:idx val="2"/>
          <c:order val="2"/>
          <c:tx>
            <c:strRef>
              <c:f>Dashboard!E9</c:f>
              <c:strCache>
                <c:ptCount val="1"/>
                <c:pt idx="0">
                  <c:v>Overdue</c:v>
                </c:pt>
              </c:strCache>
            </c:strRef>
          </c:tx>
          <c:spPr>
            <a:solidFill>
              <a:srgbClr val="ed7d3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Dashboard!$A$10:$A$16</c:f>
              <c:strCache>
                <c:ptCount val="7"/>
                <c:pt idx="0">
                  <c:v>Reference Letter</c:v>
                </c:pt>
                <c:pt idx="1">
                  <c:v>Salary Certificate</c:v>
                </c:pt>
                <c:pt idx="2">
                  <c:v>Coach Change</c:v>
                </c:pt>
                <c:pt idx="3">
                  <c:v>Bike to Work</c:v>
                </c:pt>
                <c:pt idx="4">
                  <c:v>Eyecare / VDU Voucher</c:v>
                </c:pt>
                <c:pt idx="5">
                  <c:v>Personal Milestone</c:v>
                </c:pt>
                <c:pt idx="6">
                  <c:v>Ad-hoc / Other</c:v>
                </c:pt>
              </c:strCache>
            </c:strRef>
          </c:cat>
          <c:val>
            <c:numRef>
              <c:f>Dashboard!$E$10:$E$16</c:f>
              <c:numCache>
                <c:formatCode>General</c:formatCode>
                <c:ptCount val="7"/>
                <c:pt idx="0">
                  <c:v>0</c:v>
                </c:pt>
                <c:pt idx="1">
                  <c:v>0</c:v>
                </c:pt>
                <c:pt idx="2">
                  <c:v>0</c:v>
                </c:pt>
                <c:pt idx="3">
                  <c:v>0</c:v>
                </c:pt>
                <c:pt idx="4">
                  <c:v>0</c:v>
                </c:pt>
                <c:pt idx="5">
                  <c:v>0</c:v>
                </c:pt>
                <c:pt idx="6">
                  <c:v>0</c:v>
                </c:pt>
              </c:numCache>
            </c:numRef>
          </c:val>
        </c:ser>
        <c:gapWidth val="150"/>
        <c:overlap val="100"/>
        <c:axId val="30440065"/>
        <c:axId val="40018546"/>
      </c:barChart>
      <c:catAx>
        <c:axId val="3044006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018546"/>
        <c:crosses val="autoZero"/>
        <c:auto val="1"/>
        <c:lblAlgn val="ctr"/>
        <c:lblOffset val="100"/>
        <c:noMultiLvlLbl val="0"/>
      </c:catAx>
      <c:valAx>
        <c:axId val="40018546"/>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44006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18</xdr:row>
      <xdr:rowOff>130680</xdr:rowOff>
    </xdr:from>
    <xdr:to>
      <xdr:col>8</xdr:col>
      <xdr:colOff>229320</xdr:colOff>
      <xdr:row>35</xdr:row>
      <xdr:rowOff>132120</xdr:rowOff>
    </xdr:to>
    <xdr:graphicFrame>
      <xdr:nvGraphicFramePr>
        <xdr:cNvPr id="0" name="Chart 1"/>
        <xdr:cNvGraphicFramePr/>
      </xdr:nvGraphicFramePr>
      <xdr:xfrm>
        <a:off x="4793040" y="425772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B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row>
    <row r="5" customFormat="false" ht="15" hidden="false" customHeight="false" outlineLevel="0" collapsed="false">
      <c r="A5" s="3"/>
      <c r="B5" s="4"/>
    </row>
    <row r="6" customFormat="false" ht="15" hidden="false" customHeight="false" outlineLevel="0" collapsed="false">
      <c r="A6" s="5" t="s">
        <v>4</v>
      </c>
      <c r="B6" s="6" t="s">
        <v>5</v>
      </c>
    </row>
    <row r="7" customFormat="false" ht="15" hidden="false" customHeight="false" outlineLevel="0" collapsed="false">
      <c r="A7" s="3" t="s">
        <v>6</v>
      </c>
      <c r="B7" s="4" t="s">
        <v>7</v>
      </c>
    </row>
    <row r="8" customFormat="false" ht="15" hidden="false" customHeight="false" outlineLevel="0" collapsed="false">
      <c r="A8" s="3" t="s">
        <v>8</v>
      </c>
      <c r="B8" s="4" t="s">
        <v>9</v>
      </c>
    </row>
    <row r="9" customFormat="false" ht="15" hidden="false" customHeight="false" outlineLevel="0" collapsed="false">
      <c r="A9" s="3" t="s">
        <v>10</v>
      </c>
      <c r="B9" s="4" t="s">
        <v>11</v>
      </c>
    </row>
    <row r="10" customFormat="false" ht="15" hidden="false" customHeight="false" outlineLevel="0" collapsed="false">
      <c r="A10" s="3" t="s">
        <v>12</v>
      </c>
      <c r="B10" s="4" t="s">
        <v>13</v>
      </c>
    </row>
    <row r="11" customFormat="false" ht="15" hidden="false" customHeight="false" outlineLevel="0" collapsed="false">
      <c r="A11" s="3"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row r="14" customFormat="false" ht="15" hidden="false" customHeight="false" outlineLevel="0" collapsed="false">
      <c r="A14" s="3" t="s">
        <v>20</v>
      </c>
      <c r="B14" s="4" t="s">
        <v>21</v>
      </c>
    </row>
    <row r="15" customFormat="false" ht="15" hidden="false" customHeight="false" outlineLevel="0" collapsed="false">
      <c r="A15" s="3" t="s">
        <v>22</v>
      </c>
      <c r="B15" s="4" t="s">
        <v>23</v>
      </c>
    </row>
    <row r="16" customFormat="false" ht="15" hidden="false" customHeight="false" outlineLevel="0" collapsed="false">
      <c r="A16" s="3" t="s">
        <v>24</v>
      </c>
      <c r="B16" s="4" t="s">
        <v>25</v>
      </c>
    </row>
    <row r="17" customFormat="false" ht="15" hidden="false" customHeight="false" outlineLevel="0" collapsed="false">
      <c r="A17" s="3" t="s">
        <v>26</v>
      </c>
      <c r="B17" s="4" t="s">
        <v>27</v>
      </c>
    </row>
    <row r="18" customFormat="false" ht="15" hidden="false" customHeight="false" outlineLevel="0" collapsed="false">
      <c r="A18" s="3" t="s">
        <v>28</v>
      </c>
      <c r="B18" s="4" t="s">
        <v>29</v>
      </c>
    </row>
    <row r="19" customFormat="false" ht="15" hidden="false" customHeight="false" outlineLevel="0" collapsed="false">
      <c r="A19" s="3" t="s">
        <v>30</v>
      </c>
      <c r="B19" s="4" t="s">
        <v>31</v>
      </c>
    </row>
    <row r="20" customFormat="false" ht="15" hidden="false" customHeight="false" outlineLevel="0" collapsed="false">
      <c r="A20" s="3"/>
      <c r="B20" s="4"/>
    </row>
    <row r="21" customFormat="false" ht="15" hidden="false" customHeight="false" outlineLevel="0" collapsed="false">
      <c r="A21" s="5" t="s">
        <v>32</v>
      </c>
      <c r="B21" s="6"/>
    </row>
    <row r="22" customFormat="false" ht="15" hidden="false" customHeight="false" outlineLevel="0" collapsed="false">
      <c r="A22" s="7" t="s">
        <v>33</v>
      </c>
      <c r="B22" s="4" t="s">
        <v>34</v>
      </c>
    </row>
    <row r="23" customFormat="false" ht="15" hidden="false" customHeight="false" outlineLevel="0" collapsed="false">
      <c r="A23" s="8" t="s">
        <v>35</v>
      </c>
      <c r="B23" s="4" t="s">
        <v>36</v>
      </c>
    </row>
    <row r="24" customFormat="false" ht="15" hidden="false" customHeight="false" outlineLevel="0" collapsed="false">
      <c r="A24" s="3"/>
      <c r="B24" s="4"/>
    </row>
    <row r="25" customFormat="false" ht="23.85" hidden="false" customHeight="false" outlineLevel="0" collapsed="false">
      <c r="A25" s="3" t="s">
        <v>37</v>
      </c>
      <c r="B25" s="4" t="s">
        <v>38</v>
      </c>
    </row>
    <row r="26" customFormat="false" ht="15" hidden="false" customHeight="false" outlineLevel="0" collapsed="false">
      <c r="A26" s="3"/>
      <c r="B26" s="4"/>
    </row>
    <row r="27" customFormat="false" ht="23.85" hidden="false" customHeight="false" outlineLevel="0" collapsed="false">
      <c r="A27" s="3" t="s">
        <v>39</v>
      </c>
      <c r="B27" s="4" t="s">
        <v>40</v>
      </c>
    </row>
    <row r="28" customFormat="false" ht="15" hidden="false" customHeight="false" outlineLevel="0" collapsed="false">
      <c r="A28" s="3"/>
      <c r="B28" s="4" t="s">
        <v>41</v>
      </c>
    </row>
    <row r="29" customFormat="false" ht="23.85" hidden="false" customHeight="false" outlineLevel="0" collapsed="false">
      <c r="A29" s="3"/>
      <c r="B29" s="4" t="s">
        <v>42</v>
      </c>
    </row>
    <row r="30" customFormat="false" ht="23.85" hidden="false" customHeight="false" outlineLevel="0" collapsed="false">
      <c r="A30" s="3" t="s">
        <v>43</v>
      </c>
      <c r="B30" s="4" t="s">
        <v>44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G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7" min="2" style="0" width="20"/>
  </cols>
  <sheetData>
    <row r="1" customFormat="false" ht="19.7" hidden="false" customHeight="false" outlineLevel="0" collapsed="false">
      <c r="A1" s="1" t="s">
        <v>45</v>
      </c>
    </row>
    <row r="2" customFormat="false" ht="15" hidden="false" customHeight="false" outlineLevel="0" collapsed="false">
      <c r="A2" s="2" t="s">
        <v>46</v>
      </c>
    </row>
    <row r="3" customFormat="false" ht="15" hidden="false" customHeight="false" outlineLevel="0" collapsed="false">
      <c r="A3" s="9" t="s">
        <v>47</v>
      </c>
      <c r="B3" s="10" t="n">
        <f aca="false">Lists!E4</f>
        <v>46297</v>
      </c>
    </row>
    <row r="5" customFormat="false" ht="33.75" hidden="false" customHeight="true" outlineLevel="0" collapsed="false">
      <c r="A5" s="11" t="s">
        <v>48</v>
      </c>
      <c r="B5" s="11" t="s">
        <v>49</v>
      </c>
      <c r="C5" s="11" t="s">
        <v>50</v>
      </c>
      <c r="D5" s="11" t="s">
        <v>51</v>
      </c>
      <c r="E5" s="11" t="s">
        <v>52</v>
      </c>
      <c r="F5" s="11" t="s">
        <v>53</v>
      </c>
      <c r="G5" s="11" t="s">
        <v>54</v>
      </c>
    </row>
    <row r="6" customFormat="false" ht="30" hidden="false" customHeight="true" outlineLevel="0" collapsed="false">
      <c r="A6" s="12" t="n">
        <f aca="false">COUNTA(Request_Tracker!$B$6:$B$205)</f>
        <v>12</v>
      </c>
      <c r="B6" s="12" t="n">
        <f aca="false">COUNTIF(Request_Tracker!$J$6:$J$205,"Closed")</f>
        <v>8</v>
      </c>
      <c r="C6" s="12" t="n">
        <f aca="false">COUNTIF(Request_Tracker!$J$6:$J$205,"Open")</f>
        <v>4</v>
      </c>
      <c r="D6" s="12" t="n">
        <f aca="false">COUNTIF(Request_Tracker!$K$6:$K$205,"Overdue")</f>
        <v>0</v>
      </c>
      <c r="E6" s="12" t="n">
        <f aca="false">COUNTIF(Request_Tracker!$K$6:$K$205,"Breached")</f>
        <v>2</v>
      </c>
      <c r="F6" s="13" t="n">
        <f aca="false">IFERROR(COUNTIF(Request_Tracker!$K$6:$K$205,"Met")/(COUNTIF(Request_Tracker!$K$6:$K$205,"Met")+COUNTIF(Request_Tracker!$K$6:$K$205,"Breached")+COUNTIF(Request_Tracker!$K$6:$K$205,"Overdue")),0)</f>
        <v>0.75</v>
      </c>
      <c r="G6" s="14" t="n">
        <f aca="false">IFERROR(AVERAGEIF(Request_Tracker!$J$6:$J$205,"Closed",Request_Tracker!$L$6:$L$205),0)</f>
        <v>2</v>
      </c>
    </row>
    <row r="9" customFormat="false" ht="31.5" hidden="false" customHeight="true" outlineLevel="0" collapsed="false">
      <c r="A9" s="11" t="s">
        <v>55</v>
      </c>
      <c r="B9" s="11" t="s">
        <v>56</v>
      </c>
      <c r="C9" s="11" t="s">
        <v>57</v>
      </c>
      <c r="D9" s="11" t="s">
        <v>58</v>
      </c>
      <c r="E9" s="11" t="s">
        <v>59</v>
      </c>
      <c r="F9" s="11" t="s">
        <v>60</v>
      </c>
      <c r="G9" s="11" t="s">
        <v>61</v>
      </c>
    </row>
    <row r="10" customFormat="false" ht="15" hidden="false" customHeight="false" outlineLevel="0" collapsed="false">
      <c r="A10" s="15" t="str">
        <f aca="false">Lists!A4</f>
        <v>Reference Letter</v>
      </c>
      <c r="B10" s="16" t="n">
        <f aca="false">COUNTIF(Request_Tracker!$B$6:$B$205,A10)</f>
        <v>3</v>
      </c>
      <c r="C10" s="16" t="n">
        <f aca="false">COUNTIFS(Request_Tracker!$B$6:$B$205,$A10,Request_Tracker!$K$6:$K$205,"Met")</f>
        <v>2</v>
      </c>
      <c r="D10" s="16" t="n">
        <f aca="false">COUNTIFS(Request_Tracker!$B$6:$B$205,$A10,Request_Tracker!$K$6:$K$205,"Breached")</f>
        <v>0</v>
      </c>
      <c r="E10" s="16" t="n">
        <f aca="false">COUNTIFS(Request_Tracker!$B$6:$B$205,$A10,Request_Tracker!$K$6:$K$205,"Overdue")</f>
        <v>0</v>
      </c>
      <c r="F10" s="16" t="n">
        <f aca="false">COUNTIFS(Request_Tracker!$B$6:$B$205,$A10,Request_Tracker!$K$6:$K$205,"Open - within SLA")</f>
        <v>1</v>
      </c>
      <c r="G10" s="17" t="n">
        <f aca="false">IFERROR(C10/(C10+D10+E10),"-")</f>
        <v>1</v>
      </c>
    </row>
    <row r="11" customFormat="false" ht="15" hidden="false" customHeight="false" outlineLevel="0" collapsed="false">
      <c r="A11" s="15" t="str">
        <f aca="false">Lists!A5</f>
        <v>Salary Certificate</v>
      </c>
      <c r="B11" s="16" t="n">
        <f aca="false">COUNTIF(Request_Tracker!$B$6:$B$205,A11)</f>
        <v>3</v>
      </c>
      <c r="C11" s="16" t="n">
        <f aca="false">COUNTIFS(Request_Tracker!$B$6:$B$205,$A11,Request_Tracker!$K$6:$K$205,"Met")</f>
        <v>1</v>
      </c>
      <c r="D11" s="16" t="n">
        <f aca="false">COUNTIFS(Request_Tracker!$B$6:$B$205,$A11,Request_Tracker!$K$6:$K$205,"Breached")</f>
        <v>1</v>
      </c>
      <c r="E11" s="16" t="n">
        <f aca="false">COUNTIFS(Request_Tracker!$B$6:$B$205,$A11,Request_Tracker!$K$6:$K$205,"Overdue")</f>
        <v>0</v>
      </c>
      <c r="F11" s="16" t="n">
        <f aca="false">COUNTIFS(Request_Tracker!$B$6:$B$205,$A11,Request_Tracker!$K$6:$K$205,"Open - within SLA")</f>
        <v>1</v>
      </c>
      <c r="G11" s="17" t="n">
        <f aca="false">IFERROR(C11/(C11+D11+E11),"-")</f>
        <v>0.5</v>
      </c>
    </row>
    <row r="12" customFormat="false" ht="15" hidden="false" customHeight="false" outlineLevel="0" collapsed="false">
      <c r="A12" s="15" t="str">
        <f aca="false">Lists!A6</f>
        <v>Coach Change</v>
      </c>
      <c r="B12" s="16" t="n">
        <f aca="false">COUNTIF(Request_Tracker!$B$6:$B$205,A12)</f>
        <v>2</v>
      </c>
      <c r="C12" s="16" t="n">
        <f aca="false">COUNTIFS(Request_Tracker!$B$6:$B$205,$A12,Request_Tracker!$K$6:$K$205,"Met")</f>
        <v>0</v>
      </c>
      <c r="D12" s="16" t="n">
        <f aca="false">COUNTIFS(Request_Tracker!$B$6:$B$205,$A12,Request_Tracker!$K$6:$K$205,"Breached")</f>
        <v>1</v>
      </c>
      <c r="E12" s="16" t="n">
        <f aca="false">COUNTIFS(Request_Tracker!$B$6:$B$205,$A12,Request_Tracker!$K$6:$K$205,"Overdue")</f>
        <v>0</v>
      </c>
      <c r="F12" s="16" t="n">
        <f aca="false">COUNTIFS(Request_Tracker!$B$6:$B$205,$A12,Request_Tracker!$K$6:$K$205,"Open - within SLA")</f>
        <v>1</v>
      </c>
      <c r="G12" s="17" t="n">
        <f aca="false">IFERROR(C12/(C12+D12+E12),"-")</f>
        <v>0</v>
      </c>
    </row>
    <row r="13" customFormat="false" ht="15" hidden="false" customHeight="false" outlineLevel="0" collapsed="false">
      <c r="A13" s="15" t="str">
        <f aca="false">Lists!A7</f>
        <v>Bike to Work</v>
      </c>
      <c r="B13" s="16" t="n">
        <f aca="false">COUNTIF(Request_Tracker!$B$6:$B$205,A13)</f>
        <v>2</v>
      </c>
      <c r="C13" s="16" t="n">
        <f aca="false">COUNTIFS(Request_Tracker!$B$6:$B$205,$A13,Request_Tracker!$K$6:$K$205,"Met")</f>
        <v>1</v>
      </c>
      <c r="D13" s="16" t="n">
        <f aca="false">COUNTIFS(Request_Tracker!$B$6:$B$205,$A13,Request_Tracker!$K$6:$K$205,"Breached")</f>
        <v>0</v>
      </c>
      <c r="E13" s="16" t="n">
        <f aca="false">COUNTIFS(Request_Tracker!$B$6:$B$205,$A13,Request_Tracker!$K$6:$K$205,"Overdue")</f>
        <v>0</v>
      </c>
      <c r="F13" s="16" t="n">
        <f aca="false">COUNTIFS(Request_Tracker!$B$6:$B$205,$A13,Request_Tracker!$K$6:$K$205,"Open - within SLA")</f>
        <v>1</v>
      </c>
      <c r="G13" s="17" t="n">
        <f aca="false">IFERROR(C13/(C13+D13+E13),"-")</f>
        <v>1</v>
      </c>
    </row>
    <row r="14" customFormat="false" ht="15" hidden="false" customHeight="false" outlineLevel="0" collapsed="false">
      <c r="A14" s="15" t="str">
        <f aca="false">Lists!A8</f>
        <v>Eyecare / VDU Voucher</v>
      </c>
      <c r="B14" s="16" t="n">
        <f aca="false">COUNTIF(Request_Tracker!$B$6:$B$205,A14)</f>
        <v>1</v>
      </c>
      <c r="C14" s="16" t="n">
        <f aca="false">COUNTIFS(Request_Tracker!$B$6:$B$205,$A14,Request_Tracker!$K$6:$K$205,"Met")</f>
        <v>1</v>
      </c>
      <c r="D14" s="16" t="n">
        <f aca="false">COUNTIFS(Request_Tracker!$B$6:$B$205,$A14,Request_Tracker!$K$6:$K$205,"Breached")</f>
        <v>0</v>
      </c>
      <c r="E14" s="16" t="n">
        <f aca="false">COUNTIFS(Request_Tracker!$B$6:$B$205,$A14,Request_Tracker!$K$6:$K$205,"Overdue")</f>
        <v>0</v>
      </c>
      <c r="F14" s="16" t="n">
        <f aca="false">COUNTIFS(Request_Tracker!$B$6:$B$205,$A14,Request_Tracker!$K$6:$K$205,"Open - within SLA")</f>
        <v>0</v>
      </c>
      <c r="G14" s="17" t="n">
        <f aca="false">IFERROR(C14/(C14+D14+E14),"-")</f>
        <v>1</v>
      </c>
    </row>
    <row r="15" customFormat="false" ht="15" hidden="false" customHeight="false" outlineLevel="0" collapsed="false">
      <c r="A15" s="15" t="str">
        <f aca="false">Lists!A9</f>
        <v>Personal Milestone</v>
      </c>
      <c r="B15" s="16" t="n">
        <f aca="false">COUNTIF(Request_Tracker!$B$6:$B$205,A15)</f>
        <v>1</v>
      </c>
      <c r="C15" s="16" t="n">
        <f aca="false">COUNTIFS(Request_Tracker!$B$6:$B$205,$A15,Request_Tracker!$K$6:$K$205,"Met")</f>
        <v>1</v>
      </c>
      <c r="D15" s="16" t="n">
        <f aca="false">COUNTIFS(Request_Tracker!$B$6:$B$205,$A15,Request_Tracker!$K$6:$K$205,"Breached")</f>
        <v>0</v>
      </c>
      <c r="E15" s="16" t="n">
        <f aca="false">COUNTIFS(Request_Tracker!$B$6:$B$205,$A15,Request_Tracker!$K$6:$K$205,"Overdue")</f>
        <v>0</v>
      </c>
      <c r="F15" s="16" t="n">
        <f aca="false">COUNTIFS(Request_Tracker!$B$6:$B$205,$A15,Request_Tracker!$K$6:$K$205,"Open - within SLA")</f>
        <v>0</v>
      </c>
      <c r="G15" s="17" t="n">
        <f aca="false">IFERROR(C15/(C15+D15+E15),"-")</f>
        <v>1</v>
      </c>
    </row>
    <row r="16" customFormat="false" ht="15" hidden="false" customHeight="false" outlineLevel="0" collapsed="false">
      <c r="A16" s="15" t="str">
        <f aca="false">Lists!A10</f>
        <v>Ad-hoc / Other</v>
      </c>
      <c r="B16" s="16" t="n">
        <f aca="false">COUNTIF(Request_Tracker!$B$6:$B$205,A16)</f>
        <v>0</v>
      </c>
      <c r="C16" s="16" t="n">
        <f aca="false">COUNTIFS(Request_Tracker!$B$6:$B$205,$A16,Request_Tracker!$K$6:$K$205,"Met")</f>
        <v>0</v>
      </c>
      <c r="D16" s="16" t="n">
        <f aca="false">COUNTIFS(Request_Tracker!$B$6:$B$205,$A16,Request_Tracker!$K$6:$K$205,"Breached")</f>
        <v>0</v>
      </c>
      <c r="E16" s="16" t="n">
        <f aca="false">COUNTIFS(Request_Tracker!$B$6:$B$205,$A16,Request_Tracker!$K$6:$K$205,"Overdue")</f>
        <v>0</v>
      </c>
      <c r="F16" s="16" t="n">
        <f aca="false">COUNTIFS(Request_Tracker!$B$6:$B$205,$A16,Request_Tracker!$K$6:$K$205,"Open - within SLA")</f>
        <v>0</v>
      </c>
      <c r="G16" s="17" t="str">
        <f aca="false">IFERROR(C16/(C16+D16+E16),"-")</f>
        <v>-</v>
      </c>
    </row>
    <row r="17" customFormat="false" ht="15" hidden="false" customHeight="false" outlineLevel="0" collapsed="false">
      <c r="A17" s="18" t="s">
        <v>62</v>
      </c>
      <c r="B17" s="19" t="n">
        <f aca="false">SUM(B10:B16)</f>
        <v>12</v>
      </c>
      <c r="C17" s="19" t="n">
        <f aca="false">SUM(C10:C16)</f>
        <v>6</v>
      </c>
      <c r="D17" s="19" t="n">
        <f aca="false">SUM(D10:D16)</f>
        <v>2</v>
      </c>
      <c r="E17" s="19" t="n">
        <f aca="false">SUM(E10:E16)</f>
        <v>0</v>
      </c>
      <c r="F17" s="19" t="n">
        <f aca="false">SUM(F10:F16)</f>
        <v>4</v>
      </c>
      <c r="G17" s="20" t="n">
        <f aca="false">IFERROR(C17/(C17+D17+E17),"-")</f>
        <v>0.75</v>
      </c>
    </row>
    <row r="20" customFormat="false" ht="15" hidden="false" customHeight="false" outlineLevel="0" collapsed="false">
      <c r="A20" s="9" t="s">
        <v>63</v>
      </c>
    </row>
    <row r="21" customFormat="false" ht="15" hidden="false" customHeight="false" outlineLevel="0" collapsed="false">
      <c r="A21" s="15" t="s">
        <v>64</v>
      </c>
      <c r="B21" s="16" t="n">
        <f aca="false">COUNTA(Coach_Changes!B5:B104)</f>
        <v>2</v>
      </c>
    </row>
    <row r="22" customFormat="false" ht="15" hidden="false" customHeight="false" outlineLevel="0" collapsed="false">
      <c r="A22" s="15" t="s">
        <v>65</v>
      </c>
      <c r="B22" s="16" t="n">
        <f aca="false">COUNTIF(Coach_Changes!J5:J104,"OK")</f>
        <v>1</v>
      </c>
    </row>
    <row r="23" customFormat="false" ht="15" hidden="false" customHeight="false" outlineLevel="0" collapsed="false">
      <c r="A23" s="15" t="s">
        <v>66</v>
      </c>
      <c r="B23" s="16" t="n">
        <f aca="false">COUNTA(Bike_to_Work!B5:B104)</f>
        <v>2</v>
      </c>
    </row>
    <row r="24" customFormat="false" ht="15" hidden="false" customHeight="false" outlineLevel="0" collapsed="false">
      <c r="A24" s="15" t="s">
        <v>67</v>
      </c>
      <c r="B24" s="16" t="n">
        <f aca="false">COUNTIF(Bike_to_Work!J5:J104,"Eligible")</f>
        <v>1</v>
      </c>
    </row>
    <row r="25" customFormat="false" ht="15" hidden="false" customHeight="false" outlineLevel="0" collapsed="false">
      <c r="A25" s="15" t="s">
        <v>68</v>
      </c>
      <c r="B25" s="16" t="n">
        <f aca="false">COUNTA(Eyecare_VDU!B5:B104)</f>
        <v>2</v>
      </c>
    </row>
    <row r="26" customFormat="false" ht="15" hidden="false" customHeight="false" outlineLevel="0" collapsed="false">
      <c r="A26" s="15" t="s">
        <v>67</v>
      </c>
      <c r="B26" s="16" t="n">
        <f aca="false">COUNTIF(Eyecare_VDU!G5:G104,"Eligible")</f>
        <v>1</v>
      </c>
    </row>
    <row r="27" customFormat="false" ht="15" hidden="false" customHeight="false" outlineLevel="0" collapsed="false">
      <c r="A27" s="15" t="s">
        <v>69</v>
      </c>
      <c r="B27" s="16" t="n">
        <f aca="false">COUNTA(Milestones!B5:B104)</f>
        <v>2</v>
      </c>
    </row>
    <row r="28" customFormat="false" ht="15" hidden="false" customHeight="false" outlineLevel="0" collapsed="false">
      <c r="A28" s="15" t="s">
        <v>70</v>
      </c>
      <c r="B28" s="16" t="n">
        <f aca="false">SUM(Milestones!F5:F104)</f>
        <v>225</v>
      </c>
    </row>
    <row r="31" customFormat="false" ht="15" hidden="false" customHeight="false" outlineLevel="0" collapsed="false">
      <c r="A31" s="9" t="s">
        <v>71</v>
      </c>
    </row>
    <row r="32" customFormat="false" ht="15" hidden="false" customHeight="false" outlineLevel="0" collapsed="false">
      <c r="A32" s="15" t="s">
        <v>72</v>
      </c>
      <c r="B32" s="21" t="n">
        <f aca="false">COUNTA(Quality_Log!B5:B204)</f>
        <v>12</v>
      </c>
    </row>
    <row r="33" customFormat="false" ht="15" hidden="false" customHeight="false" outlineLevel="0" collapsed="false">
      <c r="A33" s="15" t="s">
        <v>73</v>
      </c>
      <c r="B33" s="17" t="n">
        <f aca="false">IFERROR(COUNTIF(Quality_Log!E5:E204,"Pass")/COUNTA(Quality_Log!B5:B204),0)</f>
        <v>0.833333333333333</v>
      </c>
    </row>
    <row r="34" customFormat="false" ht="15" hidden="false" customHeight="false" outlineLevel="0" collapsed="false">
      <c r="A34" s="15" t="s">
        <v>74</v>
      </c>
      <c r="B34" s="21" t="n">
        <f aca="false">COUNTIFS(Quality_Log!E5:E204,"Fail",Quality_Log!G5:G204,"Yes")</f>
        <v>1</v>
      </c>
    </row>
    <row r="35" customFormat="false" ht="15" hidden="false" customHeight="false" outlineLevel="0" collapsed="false">
      <c r="A35" s="15" t="s">
        <v>75</v>
      </c>
      <c r="B35" s="21" t="n">
        <f aca="false">SUMPRODUCT(--(LEFT(Quality_Log!H5:H204,8)="ESCALATE"))</f>
        <v>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N2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10"/>
    <col collapsed="false" customWidth="true" hidden="false" outlineLevel="0" max="4" min="4" style="0" width="20"/>
    <col collapsed="false" customWidth="true" hidden="false" outlineLevel="0" max="5" min="5" style="0" width="14"/>
    <col collapsed="false" customWidth="true" hidden="false" outlineLevel="0" max="6" min="6" style="0" width="12"/>
    <col collapsed="false" customWidth="true" hidden="false" outlineLevel="0" max="7" min="7" style="0" width="14"/>
    <col collapsed="false" customWidth="true" hidden="false" outlineLevel="0" max="8" min="8" style="0" width="16"/>
    <col collapsed="false" customWidth="true" hidden="false" outlineLevel="0" max="9" min="9" style="0" width="14"/>
    <col collapsed="false" customWidth="true" hidden="false" outlineLevel="0" max="10" min="10" style="0" width="10"/>
    <col collapsed="false" customWidth="true" hidden="false" outlineLevel="0" max="11" min="11" style="0" width="18"/>
    <col collapsed="false" customWidth="true" hidden="false" outlineLevel="0" max="12" min="12" style="0" width="14"/>
    <col collapsed="false" customWidth="true" hidden="false" outlineLevel="0" max="13" min="13" style="0" width="28"/>
    <col collapsed="false" customWidth="true" hidden="false" outlineLevel="0" max="14" min="14" style="0" width="34"/>
  </cols>
  <sheetData>
    <row r="1" customFormat="false" ht="19.7" hidden="false" customHeight="false" outlineLevel="0" collapsed="false">
      <c r="A1" s="1" t="s">
        <v>76</v>
      </c>
    </row>
    <row r="2" customFormat="false" ht="15" hidden="false" customHeight="false" outlineLevel="0" collapsed="false">
      <c r="A2" s="2" t="s">
        <v>77</v>
      </c>
    </row>
    <row r="5" customFormat="false" ht="31.5" hidden="false" customHeight="true" outlineLevel="0" collapsed="false">
      <c r="A5" s="11" t="s">
        <v>78</v>
      </c>
      <c r="B5" s="11" t="s">
        <v>55</v>
      </c>
      <c r="C5" s="11" t="s">
        <v>79</v>
      </c>
      <c r="D5" s="11" t="s">
        <v>80</v>
      </c>
      <c r="E5" s="11" t="s">
        <v>81</v>
      </c>
      <c r="F5" s="11" t="s">
        <v>82</v>
      </c>
      <c r="G5" s="11" t="s">
        <v>83</v>
      </c>
      <c r="H5" s="11" t="s">
        <v>84</v>
      </c>
      <c r="I5" s="11" t="s">
        <v>85</v>
      </c>
      <c r="J5" s="11" t="s">
        <v>86</v>
      </c>
      <c r="K5" s="11" t="s">
        <v>87</v>
      </c>
      <c r="L5" s="11" t="s">
        <v>88</v>
      </c>
      <c r="M5" s="11" t="s">
        <v>89</v>
      </c>
      <c r="N5" s="11" t="s">
        <v>90</v>
      </c>
    </row>
    <row r="6" customFormat="false" ht="15" hidden="false" customHeight="false" outlineLevel="0" collapsed="false">
      <c r="A6" s="22" t="s">
        <v>91</v>
      </c>
      <c r="B6" s="22" t="s">
        <v>92</v>
      </c>
      <c r="C6" s="22" t="s">
        <v>93</v>
      </c>
      <c r="D6" s="23" t="str">
        <f aca="false">IF(C6="","",IFERROR(INDEX(Employees!$B$5:$B$200,MATCH(C6,Employees!$A$5:$A$200,0)),"ID not found"))</f>
        <v>Aoife Murphy</v>
      </c>
      <c r="E6" s="24" t="n">
        <v>46286</v>
      </c>
      <c r="F6" s="25" t="n">
        <f aca="false">IF(B6="","",IFERROR(INDEX(Lists!$B$4:$B$10,MATCH(B6,Lists!$A$4:$A$10,0)),""))</f>
        <v>1</v>
      </c>
      <c r="G6" s="26" t="n">
        <f aca="false">IF(OR(E6="",F6=""),"",WORKDAY(E6,F6,Lists!$L$4:$L$13))</f>
        <v>46287</v>
      </c>
      <c r="H6" s="22" t="s">
        <v>94</v>
      </c>
      <c r="I6" s="24" t="n">
        <v>46286</v>
      </c>
      <c r="J6" s="25" t="str">
        <f aca="false">IF(B6="","",IF(I6="","Open","Closed"))</f>
        <v>Closed</v>
      </c>
      <c r="K6" s="23" t="str">
        <f aca="false">IF(G6="","",IF(I6="",IF(Lists!$E$4&gt;G6,"Overdue","Open - within SLA"),IF(I6&lt;=G6,"Met","Breached")))</f>
        <v>Met</v>
      </c>
      <c r="L6" s="25" t="n">
        <f aca="false">IF(E6="","",MAX(0,NETWORKDAYS(E6,IF(I6="",Lists!$E$4,I6),Lists!$L$4:$L$13)-1))</f>
        <v>0</v>
      </c>
      <c r="M6" s="22" t="s">
        <v>95</v>
      </c>
      <c r="N6" s="22" t="s">
        <v>96</v>
      </c>
    </row>
    <row r="7" customFormat="false" ht="15" hidden="false" customHeight="false" outlineLevel="0" collapsed="false">
      <c r="A7" s="22" t="s">
        <v>97</v>
      </c>
      <c r="B7" s="22" t="s">
        <v>98</v>
      </c>
      <c r="C7" s="22" t="s">
        <v>99</v>
      </c>
      <c r="D7" s="23" t="str">
        <f aca="false">IF(C7="","",IFERROR(INDEX(Employees!$B$5:$B$200,MATCH(C7,Employees!$A$5:$A$200,0)),"ID not found"))</f>
        <v>Sean Doyle</v>
      </c>
      <c r="E7" s="24" t="n">
        <v>46286</v>
      </c>
      <c r="F7" s="25" t="n">
        <f aca="false">IF(B7="","",IFERROR(INDEX(Lists!$B$4:$B$10,MATCH(B7,Lists!$A$4:$A$10,0)),""))</f>
        <v>2</v>
      </c>
      <c r="G7" s="26" t="n">
        <f aca="false">IF(OR(E7="",F7=""),"",WORKDAY(E7,F7,Lists!$L$4:$L$13))</f>
        <v>46288</v>
      </c>
      <c r="H7" s="22" t="s">
        <v>100</v>
      </c>
      <c r="I7" s="24" t="n">
        <v>46287</v>
      </c>
      <c r="J7" s="25" t="str">
        <f aca="false">IF(B7="","",IF(I7="","Open","Closed"))</f>
        <v>Closed</v>
      </c>
      <c r="K7" s="23" t="str">
        <f aca="false">IF(G7="","",IF(I7="",IF(Lists!$E$4&gt;G7,"Overdue","Open - within SLA"),IF(I7&lt;=G7,"Met","Breached")))</f>
        <v>Met</v>
      </c>
      <c r="L7" s="25" t="n">
        <f aca="false">IF(E7="","",MAX(0,NETWORKDAYS(E7,IF(I7="",Lists!$E$4,I7),Lists!$L$4:$L$13)-1))</f>
        <v>1</v>
      </c>
      <c r="M7" s="22" t="s">
        <v>95</v>
      </c>
      <c r="N7" s="22" t="s">
        <v>101</v>
      </c>
    </row>
    <row r="8" customFormat="false" ht="15" hidden="false" customHeight="false" outlineLevel="0" collapsed="false">
      <c r="A8" s="22" t="s">
        <v>102</v>
      </c>
      <c r="B8" s="22" t="s">
        <v>103</v>
      </c>
      <c r="C8" s="22" t="s">
        <v>104</v>
      </c>
      <c r="D8" s="23" t="str">
        <f aca="false">IF(C8="","",IFERROR(INDEX(Employees!$B$5:$B$200,MATCH(C8,Employees!$A$5:$A$200,0)),"ID not found"))</f>
        <v>Conor Walsh</v>
      </c>
      <c r="E8" s="24" t="n">
        <v>46287</v>
      </c>
      <c r="F8" s="25" t="n">
        <f aca="false">IF(B8="","",IFERROR(INDEX(Lists!$B$4:$B$10,MATCH(B8,Lists!$A$4:$A$10,0)),""))</f>
        <v>3</v>
      </c>
      <c r="G8" s="26" t="n">
        <f aca="false">IF(OR(E8="",F8=""),"",WORKDAY(E8,F8,Lists!$L$4:$L$13))</f>
        <v>46290</v>
      </c>
      <c r="H8" s="22" t="s">
        <v>94</v>
      </c>
      <c r="I8" s="24" t="n">
        <v>46293</v>
      </c>
      <c r="J8" s="25" t="str">
        <f aca="false">IF(B8="","",IF(I8="","Open","Closed"))</f>
        <v>Closed</v>
      </c>
      <c r="K8" s="23" t="str">
        <f aca="false">IF(G8="","",IF(I8="",IF(Lists!$E$4&gt;G8,"Overdue","Open - within SLA"),IF(I8&lt;=G8,"Met","Breached")))</f>
        <v>Breached</v>
      </c>
      <c r="L8" s="25" t="n">
        <f aca="false">IF(E8="","",MAX(0,NETWORKDAYS(E8,IF(I8="",Lists!$E$4,I8),Lists!$L$4:$L$13)-1))</f>
        <v>4</v>
      </c>
      <c r="M8" s="22" t="s">
        <v>105</v>
      </c>
      <c r="N8" s="22" t="s">
        <v>106</v>
      </c>
    </row>
    <row r="9" customFormat="false" ht="15" hidden="false" customHeight="false" outlineLevel="0" collapsed="false">
      <c r="A9" s="22" t="s">
        <v>107</v>
      </c>
      <c r="B9" s="22" t="s">
        <v>108</v>
      </c>
      <c r="C9" s="22" t="s">
        <v>109</v>
      </c>
      <c r="D9" s="23" t="str">
        <f aca="false">IF(C9="","",IFERROR(INDEX(Employees!$B$5:$B$200,MATCH(C9,Employees!$A$5:$A$200,0)),"ID not found"))</f>
        <v>Niamh Byrne</v>
      </c>
      <c r="E9" s="24" t="n">
        <v>46288</v>
      </c>
      <c r="F9" s="25" t="n">
        <f aca="false">IF(B9="","",IFERROR(INDEX(Lists!$B$4:$B$10,MATCH(B9,Lists!$A$4:$A$10,0)),""))</f>
        <v>4</v>
      </c>
      <c r="G9" s="26" t="n">
        <f aca="false">IF(OR(E9="",F9=""),"",WORKDAY(E9,F9,Lists!$L$4:$L$13))</f>
        <v>46294</v>
      </c>
      <c r="H9" s="22" t="s">
        <v>100</v>
      </c>
      <c r="I9" s="24" t="n">
        <v>46294</v>
      </c>
      <c r="J9" s="25" t="str">
        <f aca="false">IF(B9="","",IF(I9="","Open","Closed"))</f>
        <v>Closed</v>
      </c>
      <c r="K9" s="23" t="str">
        <f aca="false">IF(G9="","",IF(I9="",IF(Lists!$E$4&gt;G9,"Overdue","Open - within SLA"),IF(I9&lt;=G9,"Met","Breached")))</f>
        <v>Met</v>
      </c>
      <c r="L9" s="25" t="n">
        <f aca="false">IF(E9="","",MAX(0,NETWORKDAYS(E9,IF(I9="",Lists!$E$4,I9),Lists!$L$4:$L$13)-1))</f>
        <v>4</v>
      </c>
      <c r="M9" s="22" t="s">
        <v>110</v>
      </c>
      <c r="N9" s="22" t="s">
        <v>111</v>
      </c>
    </row>
    <row r="10" customFormat="false" ht="15" hidden="false" customHeight="false" outlineLevel="0" collapsed="false">
      <c r="A10" s="22" t="s">
        <v>112</v>
      </c>
      <c r="B10" s="22" t="s">
        <v>113</v>
      </c>
      <c r="C10" s="22" t="s">
        <v>93</v>
      </c>
      <c r="D10" s="23" t="str">
        <f aca="false">IF(C10="","",IFERROR(INDEX(Employees!$B$5:$B$200,MATCH(C10,Employees!$A$5:$A$200,0)),"ID not found"))</f>
        <v>Aoife Murphy</v>
      </c>
      <c r="E10" s="24" t="n">
        <v>46289</v>
      </c>
      <c r="F10" s="25" t="n">
        <f aca="false">IF(B10="","",IFERROR(INDEX(Lists!$B$4:$B$10,MATCH(B10,Lists!$A$4:$A$10,0)),""))</f>
        <v>2</v>
      </c>
      <c r="G10" s="26" t="n">
        <f aca="false">IF(OR(E10="",F10=""),"",WORKDAY(E10,F10,Lists!$L$4:$L$13))</f>
        <v>46293</v>
      </c>
      <c r="H10" s="22" t="s">
        <v>94</v>
      </c>
      <c r="I10" s="24" t="n">
        <v>46290</v>
      </c>
      <c r="J10" s="25" t="str">
        <f aca="false">IF(B10="","",IF(I10="","Open","Closed"))</f>
        <v>Closed</v>
      </c>
      <c r="K10" s="23" t="str">
        <f aca="false">IF(G10="","",IF(I10="",IF(Lists!$E$4&gt;G10,"Overdue","Open - within SLA"),IF(I10&lt;=G10,"Met","Breached")))</f>
        <v>Met</v>
      </c>
      <c r="L10" s="25" t="n">
        <f aca="false">IF(E10="","",MAX(0,NETWORKDAYS(E10,IF(I10="",Lists!$E$4,I10),Lists!$L$4:$L$13)-1))</f>
        <v>1</v>
      </c>
      <c r="M10" s="22" t="s">
        <v>114</v>
      </c>
      <c r="N10" s="22"/>
    </row>
    <row r="11" customFormat="false" ht="15" hidden="false" customHeight="false" outlineLevel="0" collapsed="false">
      <c r="A11" s="22" t="s">
        <v>115</v>
      </c>
      <c r="B11" s="22" t="s">
        <v>116</v>
      </c>
      <c r="C11" s="22" t="s">
        <v>104</v>
      </c>
      <c r="D11" s="23" t="str">
        <f aca="false">IF(C11="","",IFERROR(INDEX(Employees!$B$5:$B$200,MATCH(C11,Employees!$A$5:$A$200,0)),"ID not found"))</f>
        <v>Conor Walsh</v>
      </c>
      <c r="E11" s="24" t="n">
        <v>46290</v>
      </c>
      <c r="F11" s="25" t="n">
        <f aca="false">IF(B11="","",IFERROR(INDEX(Lists!$B$4:$B$10,MATCH(B11,Lists!$A$4:$A$10,0)),""))</f>
        <v>3</v>
      </c>
      <c r="G11" s="26" t="n">
        <f aca="false">IF(OR(E11="",F11=""),"",WORKDAY(E11,F11,Lists!$L$4:$L$13))</f>
        <v>46295</v>
      </c>
      <c r="H11" s="22" t="s">
        <v>100</v>
      </c>
      <c r="I11" s="24" t="n">
        <v>46294</v>
      </c>
      <c r="J11" s="25" t="str">
        <f aca="false">IF(B11="","",IF(I11="","Open","Closed"))</f>
        <v>Closed</v>
      </c>
      <c r="K11" s="23" t="str">
        <f aca="false">IF(G11="","",IF(I11="",IF(Lists!$E$4&gt;G11,"Overdue","Open - within SLA"),IF(I11&lt;=G11,"Met","Breached")))</f>
        <v>Met</v>
      </c>
      <c r="L11" s="25" t="n">
        <f aca="false">IF(E11="","",MAX(0,NETWORKDAYS(E11,IF(I11="",Lists!$E$4,I11),Lists!$L$4:$L$13)-1))</f>
        <v>2</v>
      </c>
      <c r="M11" s="22" t="s">
        <v>117</v>
      </c>
      <c r="N11" s="22" t="s">
        <v>118</v>
      </c>
    </row>
    <row r="12" customFormat="false" ht="15" hidden="false" customHeight="false" outlineLevel="0" collapsed="false">
      <c r="A12" s="22" t="s">
        <v>119</v>
      </c>
      <c r="B12" s="22" t="s">
        <v>92</v>
      </c>
      <c r="C12" s="22" t="s">
        <v>120</v>
      </c>
      <c r="D12" s="23" t="str">
        <f aca="false">IF(C12="","",IFERROR(INDEX(Employees!$B$5:$B$200,MATCH(C12,Employees!$A$5:$A$200,0)),"ID not found"))</f>
        <v>Liam O'Brien</v>
      </c>
      <c r="E12" s="24" t="n">
        <v>46293</v>
      </c>
      <c r="F12" s="25" t="n">
        <f aca="false">IF(B12="","",IFERROR(INDEX(Lists!$B$4:$B$10,MATCH(B12,Lists!$A$4:$A$10,0)),""))</f>
        <v>1</v>
      </c>
      <c r="G12" s="26" t="n">
        <f aca="false">IF(OR(E12="",F12=""),"",WORKDAY(E12,F12,Lists!$L$4:$L$13))</f>
        <v>46294</v>
      </c>
      <c r="H12" s="22" t="s">
        <v>94</v>
      </c>
      <c r="I12" s="24" t="n">
        <v>46295</v>
      </c>
      <c r="J12" s="25" t="str">
        <f aca="false">IF(B12="","",IF(I12="","Open","Closed"))</f>
        <v>Closed</v>
      </c>
      <c r="K12" s="23" t="str">
        <f aca="false">IF(G12="","",IF(I12="",IF(Lists!$E$4&gt;G12,"Overdue","Open - within SLA"),IF(I12&lt;=G12,"Met","Breached")))</f>
        <v>Breached</v>
      </c>
      <c r="L12" s="25" t="n">
        <f aca="false">IF(E12="","",MAX(0,NETWORKDAYS(E12,IF(I12="",Lists!$E$4,I12),Lists!$L$4:$L$13)-1))</f>
        <v>2</v>
      </c>
      <c r="M12" s="22" t="s">
        <v>95</v>
      </c>
      <c r="N12" s="22" t="s">
        <v>121</v>
      </c>
    </row>
    <row r="13" customFormat="false" ht="15" hidden="false" customHeight="false" outlineLevel="0" collapsed="false">
      <c r="A13" s="22" t="s">
        <v>122</v>
      </c>
      <c r="B13" s="22" t="s">
        <v>98</v>
      </c>
      <c r="C13" s="22" t="s">
        <v>123</v>
      </c>
      <c r="D13" s="23" t="str">
        <f aca="false">IF(C13="","",IFERROR(INDEX(Employees!$B$5:$B$200,MATCH(C13,Employees!$A$5:$A$200,0)),"ID not found"))</f>
        <v>Patrick Nolan</v>
      </c>
      <c r="E13" s="24" t="n">
        <v>46294</v>
      </c>
      <c r="F13" s="25" t="n">
        <f aca="false">IF(B13="","",IFERROR(INDEX(Lists!$B$4:$B$10,MATCH(B13,Lists!$A$4:$A$10,0)),""))</f>
        <v>2</v>
      </c>
      <c r="G13" s="26" t="n">
        <f aca="false">IF(OR(E13="",F13=""),"",WORKDAY(E13,F13,Lists!$L$4:$L$13))</f>
        <v>46296</v>
      </c>
      <c r="H13" s="22" t="s">
        <v>100</v>
      </c>
      <c r="I13" s="24" t="n">
        <v>46296</v>
      </c>
      <c r="J13" s="25" t="str">
        <f aca="false">IF(B13="","",IF(I13="","Open","Closed"))</f>
        <v>Closed</v>
      </c>
      <c r="K13" s="23" t="str">
        <f aca="false">IF(G13="","",IF(I13="",IF(Lists!$E$4&gt;G13,"Overdue","Open - within SLA"),IF(I13&lt;=G13,"Met","Breached")))</f>
        <v>Met</v>
      </c>
      <c r="L13" s="25" t="n">
        <f aca="false">IF(E13="","",MAX(0,NETWORKDAYS(E13,IF(I13="",Lists!$E$4,I13),Lists!$L$4:$L$13)-1))</f>
        <v>2</v>
      </c>
      <c r="M13" s="22" t="s">
        <v>95</v>
      </c>
      <c r="N13" s="22"/>
    </row>
    <row r="14" customFormat="false" ht="15" hidden="false" customHeight="false" outlineLevel="0" collapsed="false">
      <c r="A14" s="22" t="s">
        <v>124</v>
      </c>
      <c r="B14" s="22" t="s">
        <v>98</v>
      </c>
      <c r="C14" s="22" t="s">
        <v>99</v>
      </c>
      <c r="D14" s="23" t="str">
        <f aca="false">IF(C14="","",IFERROR(INDEX(Employees!$B$5:$B$200,MATCH(C14,Employees!$A$5:$A$200,0)),"ID not found"))</f>
        <v>Sean Doyle</v>
      </c>
      <c r="E14" s="24" t="n">
        <v>46295</v>
      </c>
      <c r="F14" s="25" t="n">
        <f aca="false">IF(B14="","",IFERROR(INDEX(Lists!$B$4:$B$10,MATCH(B14,Lists!$A$4:$A$10,0)),""))</f>
        <v>2</v>
      </c>
      <c r="G14" s="26" t="n">
        <f aca="false">IF(OR(E14="",F14=""),"",WORKDAY(E14,F14,Lists!$L$4:$L$13))</f>
        <v>46297</v>
      </c>
      <c r="H14" s="22" t="s">
        <v>94</v>
      </c>
      <c r="I14" s="24"/>
      <c r="J14" s="25" t="str">
        <f aca="false">IF(B14="","",IF(I14="","Open","Closed"))</f>
        <v>Open</v>
      </c>
      <c r="K14" s="23" t="str">
        <f aca="false">IF(G14="","",IF(I14="",IF(Lists!$E$4&gt;G14,"Overdue","Open - within SLA"),IF(I14&lt;=G14,"Met","Breached")))</f>
        <v>Open - within SLA</v>
      </c>
      <c r="L14" s="25" t="n">
        <f aca="false">IF(E14="","",MAX(0,NETWORKDAYS(E14,IF(I14="",Lists!$E$4,I14),Lists!$L$4:$L$13)-1))</f>
        <v>2</v>
      </c>
      <c r="M14" s="22" t="s">
        <v>95</v>
      </c>
      <c r="N14" s="22" t="s">
        <v>125</v>
      </c>
    </row>
    <row r="15" customFormat="false" ht="15" hidden="false" customHeight="false" outlineLevel="0" collapsed="false">
      <c r="A15" s="22" t="s">
        <v>126</v>
      </c>
      <c r="B15" s="22" t="s">
        <v>103</v>
      </c>
      <c r="C15" s="22" t="s">
        <v>127</v>
      </c>
      <c r="D15" s="23" t="str">
        <f aca="false">IF(C15="","",IFERROR(INDEX(Employees!$B$5:$B$200,MATCH(C15,Employees!$A$5:$A$200,0)),"ID not found"))</f>
        <v>Emma Ryan</v>
      </c>
      <c r="E15" s="24" t="n">
        <v>46295</v>
      </c>
      <c r="F15" s="25" t="n">
        <f aca="false">IF(B15="","",IFERROR(INDEX(Lists!$B$4:$B$10,MATCH(B15,Lists!$A$4:$A$10,0)),""))</f>
        <v>3</v>
      </c>
      <c r="G15" s="26" t="n">
        <f aca="false">IF(OR(E15="",F15=""),"",WORKDAY(E15,F15,Lists!$L$4:$L$13))</f>
        <v>46300</v>
      </c>
      <c r="H15" s="22" t="s">
        <v>100</v>
      </c>
      <c r="I15" s="24"/>
      <c r="J15" s="25" t="str">
        <f aca="false">IF(B15="","",IF(I15="","Open","Closed"))</f>
        <v>Open</v>
      </c>
      <c r="K15" s="23" t="str">
        <f aca="false">IF(G15="","",IF(I15="",IF(Lists!$E$4&gt;G15,"Overdue","Open - within SLA"),IF(I15&lt;=G15,"Met","Breached")))</f>
        <v>Open - within SLA</v>
      </c>
      <c r="L15" s="25" t="n">
        <f aca="false">IF(E15="","",MAX(0,NETWORKDAYS(E15,IF(I15="",Lists!$E$4,I15),Lists!$L$4:$L$13)-1))</f>
        <v>2</v>
      </c>
      <c r="M15" s="22" t="s">
        <v>105</v>
      </c>
      <c r="N15" s="22"/>
    </row>
    <row r="16" customFormat="false" ht="15" hidden="false" customHeight="false" outlineLevel="0" collapsed="false">
      <c r="A16" s="22" t="s">
        <v>128</v>
      </c>
      <c r="B16" s="22" t="s">
        <v>108</v>
      </c>
      <c r="C16" s="22" t="s">
        <v>129</v>
      </c>
      <c r="D16" s="23" t="str">
        <f aca="false">IF(C16="","",IFERROR(INDEX(Employees!$B$5:$B$200,MATCH(C16,Employees!$A$5:$A$200,0)),"ID not found"))</f>
        <v>Ciara Kelly</v>
      </c>
      <c r="E16" s="24" t="n">
        <v>46296</v>
      </c>
      <c r="F16" s="25" t="n">
        <f aca="false">IF(B16="","",IFERROR(INDEX(Lists!$B$4:$B$10,MATCH(B16,Lists!$A$4:$A$10,0)),""))</f>
        <v>4</v>
      </c>
      <c r="G16" s="26" t="n">
        <f aca="false">IF(OR(E16="",F16=""),"",WORKDAY(E16,F16,Lists!$L$4:$L$13))</f>
        <v>46302</v>
      </c>
      <c r="H16" s="22" t="s">
        <v>94</v>
      </c>
      <c r="I16" s="24"/>
      <c r="J16" s="25" t="str">
        <f aca="false">IF(B16="","",IF(I16="","Open","Closed"))</f>
        <v>Open</v>
      </c>
      <c r="K16" s="23" t="str">
        <f aca="false">IF(G16="","",IF(I16="",IF(Lists!$E$4&gt;G16,"Overdue","Open - within SLA"),IF(I16&lt;=G16,"Met","Breached")))</f>
        <v>Open - within SLA</v>
      </c>
      <c r="L16" s="25" t="n">
        <f aca="false">IF(E16="","",MAX(0,NETWORKDAYS(E16,IF(I16="",Lists!$E$4,I16),Lists!$L$4:$L$13)-1))</f>
        <v>1</v>
      </c>
      <c r="M16" s="22" t="s">
        <v>110</v>
      </c>
      <c r="N16" s="22" t="s">
        <v>130</v>
      </c>
    </row>
    <row r="17" customFormat="false" ht="15" hidden="false" customHeight="false" outlineLevel="0" collapsed="false">
      <c r="A17" s="22" t="s">
        <v>131</v>
      </c>
      <c r="B17" s="22" t="s">
        <v>92</v>
      </c>
      <c r="C17" s="22" t="s">
        <v>109</v>
      </c>
      <c r="D17" s="23" t="str">
        <f aca="false">IF(C17="","",IFERROR(INDEX(Employees!$B$5:$B$200,MATCH(C17,Employees!$A$5:$A$200,0)),"ID not found"))</f>
        <v>Niamh Byrne</v>
      </c>
      <c r="E17" s="24" t="n">
        <v>46297</v>
      </c>
      <c r="F17" s="25" t="n">
        <f aca="false">IF(B17="","",IFERROR(INDEX(Lists!$B$4:$B$10,MATCH(B17,Lists!$A$4:$A$10,0)),""))</f>
        <v>1</v>
      </c>
      <c r="G17" s="26" t="n">
        <f aca="false">IF(OR(E17="",F17=""),"",WORKDAY(E17,F17,Lists!$L$4:$L$13))</f>
        <v>46300</v>
      </c>
      <c r="H17" s="22" t="s">
        <v>100</v>
      </c>
      <c r="I17" s="24"/>
      <c r="J17" s="25" t="str">
        <f aca="false">IF(B17="","",IF(I17="","Open","Closed"))</f>
        <v>Open</v>
      </c>
      <c r="K17" s="23" t="str">
        <f aca="false">IF(G17="","",IF(I17="",IF(Lists!$E$4&gt;G17,"Overdue","Open - within SLA"),IF(I17&lt;=G17,"Met","Breached")))</f>
        <v>Open - within SLA</v>
      </c>
      <c r="L17" s="25" t="n">
        <f aca="false">IF(E17="","",MAX(0,NETWORKDAYS(E17,IF(I17="",Lists!$E$4,I17),Lists!$L$4:$L$13)-1))</f>
        <v>0</v>
      </c>
      <c r="M17" s="22" t="s">
        <v>95</v>
      </c>
      <c r="N17" s="22" t="s">
        <v>132</v>
      </c>
    </row>
    <row r="18" customFormat="false" ht="15" hidden="false" customHeight="false" outlineLevel="0" collapsed="false">
      <c r="A18" s="22"/>
      <c r="B18" s="22"/>
      <c r="C18" s="22"/>
      <c r="D18" s="23" t="str">
        <f aca="false">IF(C18="","",IFERROR(INDEX(Employees!$B$5:$B$200,MATCH(C18,Employees!$A$5:$A$200,0)),"ID not found"))</f>
        <v/>
      </c>
      <c r="E18" s="24"/>
      <c r="F18" s="25" t="str">
        <f aca="false">IF(B18="","",IFERROR(INDEX(Lists!$B$4:$B$10,MATCH(B18,Lists!$A$4:$A$10,0)),""))</f>
        <v/>
      </c>
      <c r="G18" s="26" t="str">
        <f aca="false">IF(OR(E18="",F18=""),"",WORKDAY(E18,F18,Lists!$L$4:$L$13))</f>
        <v/>
      </c>
      <c r="H18" s="22"/>
      <c r="I18" s="24"/>
      <c r="J18" s="25" t="str">
        <f aca="false">IF(B18="","",IF(I18="","Open","Closed"))</f>
        <v/>
      </c>
      <c r="K18" s="23" t="str">
        <f aca="false">IF(G18="","",IF(I18="",IF(Lists!$E$4&gt;G18,"Overdue","Open - within SLA"),IF(I18&lt;=G18,"Met","Breached")))</f>
        <v/>
      </c>
      <c r="L18" s="25" t="str">
        <f aca="false">IF(E18="","",MAX(0,NETWORKDAYS(E18,IF(I18="",Lists!$E$4,I18),Lists!$L$4:$L$13)-1))</f>
        <v/>
      </c>
      <c r="M18" s="22"/>
      <c r="N18" s="22"/>
    </row>
    <row r="19" customFormat="false" ht="15" hidden="false" customHeight="false" outlineLevel="0" collapsed="false">
      <c r="A19" s="22"/>
      <c r="B19" s="22"/>
      <c r="C19" s="22"/>
      <c r="D19" s="23" t="str">
        <f aca="false">IF(C19="","",IFERROR(INDEX(Employees!$B$5:$B$200,MATCH(C19,Employees!$A$5:$A$200,0)),"ID not found"))</f>
        <v/>
      </c>
      <c r="E19" s="24"/>
      <c r="F19" s="25" t="str">
        <f aca="false">IF(B19="","",IFERROR(INDEX(Lists!$B$4:$B$10,MATCH(B19,Lists!$A$4:$A$10,0)),""))</f>
        <v/>
      </c>
      <c r="G19" s="26" t="str">
        <f aca="false">IF(OR(E19="",F19=""),"",WORKDAY(E19,F19,Lists!$L$4:$L$13))</f>
        <v/>
      </c>
      <c r="H19" s="22"/>
      <c r="I19" s="24"/>
      <c r="J19" s="25" t="str">
        <f aca="false">IF(B19="","",IF(I19="","Open","Closed"))</f>
        <v/>
      </c>
      <c r="K19" s="23" t="str">
        <f aca="false">IF(G19="","",IF(I19="",IF(Lists!$E$4&gt;G19,"Overdue","Open - within SLA"),IF(I19&lt;=G19,"Met","Breached")))</f>
        <v/>
      </c>
      <c r="L19" s="25" t="str">
        <f aca="false">IF(E19="","",MAX(0,NETWORKDAYS(E19,IF(I19="",Lists!$E$4,I19),Lists!$L$4:$L$13)-1))</f>
        <v/>
      </c>
      <c r="M19" s="22"/>
      <c r="N19" s="22"/>
    </row>
    <row r="20" customFormat="false" ht="15" hidden="false" customHeight="false" outlineLevel="0" collapsed="false">
      <c r="A20" s="22"/>
      <c r="B20" s="22"/>
      <c r="C20" s="22"/>
      <c r="D20" s="23" t="str">
        <f aca="false">IF(C20="","",IFERROR(INDEX(Employees!$B$5:$B$200,MATCH(C20,Employees!$A$5:$A$200,0)),"ID not found"))</f>
        <v/>
      </c>
      <c r="E20" s="24"/>
      <c r="F20" s="25" t="str">
        <f aca="false">IF(B20="","",IFERROR(INDEX(Lists!$B$4:$B$10,MATCH(B20,Lists!$A$4:$A$10,0)),""))</f>
        <v/>
      </c>
      <c r="G20" s="26" t="str">
        <f aca="false">IF(OR(E20="",F20=""),"",WORKDAY(E20,F20,Lists!$L$4:$L$13))</f>
        <v/>
      </c>
      <c r="H20" s="22"/>
      <c r="I20" s="24"/>
      <c r="J20" s="25" t="str">
        <f aca="false">IF(B20="","",IF(I20="","Open","Closed"))</f>
        <v/>
      </c>
      <c r="K20" s="23" t="str">
        <f aca="false">IF(G20="","",IF(I20="",IF(Lists!$E$4&gt;G20,"Overdue","Open - within SLA"),IF(I20&lt;=G20,"Met","Breached")))</f>
        <v/>
      </c>
      <c r="L20" s="25" t="str">
        <f aca="false">IF(E20="","",MAX(0,NETWORKDAYS(E20,IF(I20="",Lists!$E$4,I20),Lists!$L$4:$L$13)-1))</f>
        <v/>
      </c>
      <c r="M20" s="22"/>
      <c r="N20" s="22"/>
    </row>
    <row r="21" customFormat="false" ht="15" hidden="false" customHeight="false" outlineLevel="0" collapsed="false">
      <c r="A21" s="22"/>
      <c r="B21" s="22"/>
      <c r="C21" s="22"/>
      <c r="D21" s="23" t="str">
        <f aca="false">IF(C21="","",IFERROR(INDEX(Employees!$B$5:$B$200,MATCH(C21,Employees!$A$5:$A$200,0)),"ID not found"))</f>
        <v/>
      </c>
      <c r="E21" s="24"/>
      <c r="F21" s="25" t="str">
        <f aca="false">IF(B21="","",IFERROR(INDEX(Lists!$B$4:$B$10,MATCH(B21,Lists!$A$4:$A$10,0)),""))</f>
        <v/>
      </c>
      <c r="G21" s="26" t="str">
        <f aca="false">IF(OR(E21="",F21=""),"",WORKDAY(E21,F21,Lists!$L$4:$L$13))</f>
        <v/>
      </c>
      <c r="H21" s="22"/>
      <c r="I21" s="24"/>
      <c r="J21" s="25" t="str">
        <f aca="false">IF(B21="","",IF(I21="","Open","Closed"))</f>
        <v/>
      </c>
      <c r="K21" s="23" t="str">
        <f aca="false">IF(G21="","",IF(I21="",IF(Lists!$E$4&gt;G21,"Overdue","Open - within SLA"),IF(I21&lt;=G21,"Met","Breached")))</f>
        <v/>
      </c>
      <c r="L21" s="25" t="str">
        <f aca="false">IF(E21="","",MAX(0,NETWORKDAYS(E21,IF(I21="",Lists!$E$4,I21),Lists!$L$4:$L$13)-1))</f>
        <v/>
      </c>
      <c r="M21" s="22"/>
      <c r="N21" s="22"/>
    </row>
    <row r="22" customFormat="false" ht="15" hidden="false" customHeight="false" outlineLevel="0" collapsed="false">
      <c r="A22" s="22"/>
      <c r="B22" s="22"/>
      <c r="C22" s="22"/>
      <c r="D22" s="23" t="str">
        <f aca="false">IF(C22="","",IFERROR(INDEX(Employees!$B$5:$B$200,MATCH(C22,Employees!$A$5:$A$200,0)),"ID not found"))</f>
        <v/>
      </c>
      <c r="E22" s="24"/>
      <c r="F22" s="25" t="str">
        <f aca="false">IF(B22="","",IFERROR(INDEX(Lists!$B$4:$B$10,MATCH(B22,Lists!$A$4:$A$10,0)),""))</f>
        <v/>
      </c>
      <c r="G22" s="26" t="str">
        <f aca="false">IF(OR(E22="",F22=""),"",WORKDAY(E22,F22,Lists!$L$4:$L$13))</f>
        <v/>
      </c>
      <c r="H22" s="22"/>
      <c r="I22" s="24"/>
      <c r="J22" s="25" t="str">
        <f aca="false">IF(B22="","",IF(I22="","Open","Closed"))</f>
        <v/>
      </c>
      <c r="K22" s="23" t="str">
        <f aca="false">IF(G22="","",IF(I22="",IF(Lists!$E$4&gt;G22,"Overdue","Open - within SLA"),IF(I22&lt;=G22,"Met","Breached")))</f>
        <v/>
      </c>
      <c r="L22" s="25" t="str">
        <f aca="false">IF(E22="","",MAX(0,NETWORKDAYS(E22,IF(I22="",Lists!$E$4,I22),Lists!$L$4:$L$13)-1))</f>
        <v/>
      </c>
      <c r="M22" s="22"/>
      <c r="N22" s="22"/>
    </row>
    <row r="23" customFormat="false" ht="15" hidden="false" customHeight="false" outlineLevel="0" collapsed="false">
      <c r="A23" s="22"/>
      <c r="B23" s="22"/>
      <c r="C23" s="22"/>
      <c r="D23" s="23" t="str">
        <f aca="false">IF(C23="","",IFERROR(INDEX(Employees!$B$5:$B$200,MATCH(C23,Employees!$A$5:$A$200,0)),"ID not found"))</f>
        <v/>
      </c>
      <c r="E23" s="24"/>
      <c r="F23" s="25" t="str">
        <f aca="false">IF(B23="","",IFERROR(INDEX(Lists!$B$4:$B$10,MATCH(B23,Lists!$A$4:$A$10,0)),""))</f>
        <v/>
      </c>
      <c r="G23" s="26" t="str">
        <f aca="false">IF(OR(E23="",F23=""),"",WORKDAY(E23,F23,Lists!$L$4:$L$13))</f>
        <v/>
      </c>
      <c r="H23" s="22"/>
      <c r="I23" s="24"/>
      <c r="J23" s="25" t="str">
        <f aca="false">IF(B23="","",IF(I23="","Open","Closed"))</f>
        <v/>
      </c>
      <c r="K23" s="23" t="str">
        <f aca="false">IF(G23="","",IF(I23="",IF(Lists!$E$4&gt;G23,"Overdue","Open - within SLA"),IF(I23&lt;=G23,"Met","Breached")))</f>
        <v/>
      </c>
      <c r="L23" s="25" t="str">
        <f aca="false">IF(E23="","",MAX(0,NETWORKDAYS(E23,IF(I23="",Lists!$E$4,I23),Lists!$L$4:$L$13)-1))</f>
        <v/>
      </c>
      <c r="M23" s="22"/>
      <c r="N23" s="22"/>
    </row>
    <row r="24" customFormat="false" ht="15" hidden="false" customHeight="false" outlineLevel="0" collapsed="false">
      <c r="A24" s="22"/>
      <c r="B24" s="22"/>
      <c r="C24" s="22"/>
      <c r="D24" s="23" t="str">
        <f aca="false">IF(C24="","",IFERROR(INDEX(Employees!$B$5:$B$200,MATCH(C24,Employees!$A$5:$A$200,0)),"ID not found"))</f>
        <v/>
      </c>
      <c r="E24" s="24"/>
      <c r="F24" s="25" t="str">
        <f aca="false">IF(B24="","",IFERROR(INDEX(Lists!$B$4:$B$10,MATCH(B24,Lists!$A$4:$A$10,0)),""))</f>
        <v/>
      </c>
      <c r="G24" s="26" t="str">
        <f aca="false">IF(OR(E24="",F24=""),"",WORKDAY(E24,F24,Lists!$L$4:$L$13))</f>
        <v/>
      </c>
      <c r="H24" s="22"/>
      <c r="I24" s="24"/>
      <c r="J24" s="25" t="str">
        <f aca="false">IF(B24="","",IF(I24="","Open","Closed"))</f>
        <v/>
      </c>
      <c r="K24" s="23" t="str">
        <f aca="false">IF(G24="","",IF(I24="",IF(Lists!$E$4&gt;G24,"Overdue","Open - within SLA"),IF(I24&lt;=G24,"Met","Breached")))</f>
        <v/>
      </c>
      <c r="L24" s="25" t="str">
        <f aca="false">IF(E24="","",MAX(0,NETWORKDAYS(E24,IF(I24="",Lists!$E$4,I24),Lists!$L$4:$L$13)-1))</f>
        <v/>
      </c>
      <c r="M24" s="22"/>
      <c r="N24" s="22"/>
    </row>
    <row r="25" customFormat="false" ht="15" hidden="false" customHeight="false" outlineLevel="0" collapsed="false">
      <c r="A25" s="22"/>
      <c r="B25" s="22"/>
      <c r="C25" s="22"/>
      <c r="D25" s="23" t="str">
        <f aca="false">IF(C25="","",IFERROR(INDEX(Employees!$B$5:$B$200,MATCH(C25,Employees!$A$5:$A$200,0)),"ID not found"))</f>
        <v/>
      </c>
      <c r="E25" s="24"/>
      <c r="F25" s="25" t="str">
        <f aca="false">IF(B25="","",IFERROR(INDEX(Lists!$B$4:$B$10,MATCH(B25,Lists!$A$4:$A$10,0)),""))</f>
        <v/>
      </c>
      <c r="G25" s="26" t="str">
        <f aca="false">IF(OR(E25="",F25=""),"",WORKDAY(E25,F25,Lists!$L$4:$L$13))</f>
        <v/>
      </c>
      <c r="H25" s="22"/>
      <c r="I25" s="24"/>
      <c r="J25" s="25" t="str">
        <f aca="false">IF(B25="","",IF(I25="","Open","Closed"))</f>
        <v/>
      </c>
      <c r="K25" s="23" t="str">
        <f aca="false">IF(G25="","",IF(I25="",IF(Lists!$E$4&gt;G25,"Overdue","Open - within SLA"),IF(I25&lt;=G25,"Met","Breached")))</f>
        <v/>
      </c>
      <c r="L25" s="25" t="str">
        <f aca="false">IF(E25="","",MAX(0,NETWORKDAYS(E25,IF(I25="",Lists!$E$4,I25),Lists!$L$4:$L$13)-1))</f>
        <v/>
      </c>
      <c r="M25" s="22"/>
      <c r="N25" s="22"/>
    </row>
    <row r="26" customFormat="false" ht="15" hidden="false" customHeight="false" outlineLevel="0" collapsed="false">
      <c r="A26" s="22"/>
      <c r="B26" s="22"/>
      <c r="C26" s="22"/>
      <c r="D26" s="23" t="str">
        <f aca="false">IF(C26="","",IFERROR(INDEX(Employees!$B$5:$B$200,MATCH(C26,Employees!$A$5:$A$200,0)),"ID not found"))</f>
        <v/>
      </c>
      <c r="E26" s="24"/>
      <c r="F26" s="25" t="str">
        <f aca="false">IF(B26="","",IFERROR(INDEX(Lists!$B$4:$B$10,MATCH(B26,Lists!$A$4:$A$10,0)),""))</f>
        <v/>
      </c>
      <c r="G26" s="26" t="str">
        <f aca="false">IF(OR(E26="",F26=""),"",WORKDAY(E26,F26,Lists!$L$4:$L$13))</f>
        <v/>
      </c>
      <c r="H26" s="22"/>
      <c r="I26" s="24"/>
      <c r="J26" s="25" t="str">
        <f aca="false">IF(B26="","",IF(I26="","Open","Closed"))</f>
        <v/>
      </c>
      <c r="K26" s="23" t="str">
        <f aca="false">IF(G26="","",IF(I26="",IF(Lists!$E$4&gt;G26,"Overdue","Open - within SLA"),IF(I26&lt;=G26,"Met","Breached")))</f>
        <v/>
      </c>
      <c r="L26" s="25" t="str">
        <f aca="false">IF(E26="","",MAX(0,NETWORKDAYS(E26,IF(I26="",Lists!$E$4,I26),Lists!$L$4:$L$13)-1))</f>
        <v/>
      </c>
      <c r="M26" s="22"/>
      <c r="N26" s="22"/>
    </row>
    <row r="27" customFormat="false" ht="15" hidden="false" customHeight="false" outlineLevel="0" collapsed="false">
      <c r="A27" s="22"/>
      <c r="B27" s="22"/>
      <c r="C27" s="22"/>
      <c r="D27" s="23" t="str">
        <f aca="false">IF(C27="","",IFERROR(INDEX(Employees!$B$5:$B$200,MATCH(C27,Employees!$A$5:$A$200,0)),"ID not found"))</f>
        <v/>
      </c>
      <c r="E27" s="24"/>
      <c r="F27" s="25" t="str">
        <f aca="false">IF(B27="","",IFERROR(INDEX(Lists!$B$4:$B$10,MATCH(B27,Lists!$A$4:$A$10,0)),""))</f>
        <v/>
      </c>
      <c r="G27" s="26" t="str">
        <f aca="false">IF(OR(E27="",F27=""),"",WORKDAY(E27,F27,Lists!$L$4:$L$13))</f>
        <v/>
      </c>
      <c r="H27" s="22"/>
      <c r="I27" s="24"/>
      <c r="J27" s="25" t="str">
        <f aca="false">IF(B27="","",IF(I27="","Open","Closed"))</f>
        <v/>
      </c>
      <c r="K27" s="23" t="str">
        <f aca="false">IF(G27="","",IF(I27="",IF(Lists!$E$4&gt;G27,"Overdue","Open - within SLA"),IF(I27&lt;=G27,"Met","Breached")))</f>
        <v/>
      </c>
      <c r="L27" s="25" t="str">
        <f aca="false">IF(E27="","",MAX(0,NETWORKDAYS(E27,IF(I27="",Lists!$E$4,I27),Lists!$L$4:$L$13)-1))</f>
        <v/>
      </c>
      <c r="M27" s="22"/>
      <c r="N27" s="22"/>
    </row>
    <row r="28" customFormat="false" ht="15" hidden="false" customHeight="false" outlineLevel="0" collapsed="false">
      <c r="A28" s="22"/>
      <c r="B28" s="22"/>
      <c r="C28" s="22"/>
      <c r="D28" s="23" t="str">
        <f aca="false">IF(C28="","",IFERROR(INDEX(Employees!$B$5:$B$200,MATCH(C28,Employees!$A$5:$A$200,0)),"ID not found"))</f>
        <v/>
      </c>
      <c r="E28" s="24"/>
      <c r="F28" s="25" t="str">
        <f aca="false">IF(B28="","",IFERROR(INDEX(Lists!$B$4:$B$10,MATCH(B28,Lists!$A$4:$A$10,0)),""))</f>
        <v/>
      </c>
      <c r="G28" s="26" t="str">
        <f aca="false">IF(OR(E28="",F28=""),"",WORKDAY(E28,F28,Lists!$L$4:$L$13))</f>
        <v/>
      </c>
      <c r="H28" s="22"/>
      <c r="I28" s="24"/>
      <c r="J28" s="25" t="str">
        <f aca="false">IF(B28="","",IF(I28="","Open","Closed"))</f>
        <v/>
      </c>
      <c r="K28" s="23" t="str">
        <f aca="false">IF(G28="","",IF(I28="",IF(Lists!$E$4&gt;G28,"Overdue","Open - within SLA"),IF(I28&lt;=G28,"Met","Breached")))</f>
        <v/>
      </c>
      <c r="L28" s="25" t="str">
        <f aca="false">IF(E28="","",MAX(0,NETWORKDAYS(E28,IF(I28="",Lists!$E$4,I28),Lists!$L$4:$L$13)-1))</f>
        <v/>
      </c>
      <c r="M28" s="22"/>
      <c r="N28" s="22"/>
    </row>
    <row r="29" customFormat="false" ht="15" hidden="false" customHeight="false" outlineLevel="0" collapsed="false">
      <c r="A29" s="22"/>
      <c r="B29" s="22"/>
      <c r="C29" s="22"/>
      <c r="D29" s="23" t="str">
        <f aca="false">IF(C29="","",IFERROR(INDEX(Employees!$B$5:$B$200,MATCH(C29,Employees!$A$5:$A$200,0)),"ID not found"))</f>
        <v/>
      </c>
      <c r="E29" s="24"/>
      <c r="F29" s="25" t="str">
        <f aca="false">IF(B29="","",IFERROR(INDEX(Lists!$B$4:$B$10,MATCH(B29,Lists!$A$4:$A$10,0)),""))</f>
        <v/>
      </c>
      <c r="G29" s="26" t="str">
        <f aca="false">IF(OR(E29="",F29=""),"",WORKDAY(E29,F29,Lists!$L$4:$L$13))</f>
        <v/>
      </c>
      <c r="H29" s="22"/>
      <c r="I29" s="24"/>
      <c r="J29" s="25" t="str">
        <f aca="false">IF(B29="","",IF(I29="","Open","Closed"))</f>
        <v/>
      </c>
      <c r="K29" s="23" t="str">
        <f aca="false">IF(G29="","",IF(I29="",IF(Lists!$E$4&gt;G29,"Overdue","Open - within SLA"),IF(I29&lt;=G29,"Met","Breached")))</f>
        <v/>
      </c>
      <c r="L29" s="25" t="str">
        <f aca="false">IF(E29="","",MAX(0,NETWORKDAYS(E29,IF(I29="",Lists!$E$4,I29),Lists!$L$4:$L$13)-1))</f>
        <v/>
      </c>
      <c r="M29" s="22"/>
      <c r="N29" s="22"/>
    </row>
    <row r="30" customFormat="false" ht="15" hidden="false" customHeight="false" outlineLevel="0" collapsed="false">
      <c r="A30" s="22"/>
      <c r="B30" s="22"/>
      <c r="C30" s="22"/>
      <c r="D30" s="23" t="str">
        <f aca="false">IF(C30="","",IFERROR(INDEX(Employees!$B$5:$B$200,MATCH(C30,Employees!$A$5:$A$200,0)),"ID not found"))</f>
        <v/>
      </c>
      <c r="E30" s="24"/>
      <c r="F30" s="25" t="str">
        <f aca="false">IF(B30="","",IFERROR(INDEX(Lists!$B$4:$B$10,MATCH(B30,Lists!$A$4:$A$10,0)),""))</f>
        <v/>
      </c>
      <c r="G30" s="26" t="str">
        <f aca="false">IF(OR(E30="",F30=""),"",WORKDAY(E30,F30,Lists!$L$4:$L$13))</f>
        <v/>
      </c>
      <c r="H30" s="22"/>
      <c r="I30" s="24"/>
      <c r="J30" s="25" t="str">
        <f aca="false">IF(B30="","",IF(I30="","Open","Closed"))</f>
        <v/>
      </c>
      <c r="K30" s="23" t="str">
        <f aca="false">IF(G30="","",IF(I30="",IF(Lists!$E$4&gt;G30,"Overdue","Open - within SLA"),IF(I30&lt;=G30,"Met","Breached")))</f>
        <v/>
      </c>
      <c r="L30" s="25" t="str">
        <f aca="false">IF(E30="","",MAX(0,NETWORKDAYS(E30,IF(I30="",Lists!$E$4,I30),Lists!$L$4:$L$13)-1))</f>
        <v/>
      </c>
      <c r="M30" s="22"/>
      <c r="N30" s="22"/>
    </row>
    <row r="31" customFormat="false" ht="15" hidden="false" customHeight="false" outlineLevel="0" collapsed="false">
      <c r="A31" s="22"/>
      <c r="B31" s="22"/>
      <c r="C31" s="22"/>
      <c r="D31" s="23" t="str">
        <f aca="false">IF(C31="","",IFERROR(INDEX(Employees!$B$5:$B$200,MATCH(C31,Employees!$A$5:$A$200,0)),"ID not found"))</f>
        <v/>
      </c>
      <c r="E31" s="24"/>
      <c r="F31" s="25" t="str">
        <f aca="false">IF(B31="","",IFERROR(INDEX(Lists!$B$4:$B$10,MATCH(B31,Lists!$A$4:$A$10,0)),""))</f>
        <v/>
      </c>
      <c r="G31" s="26" t="str">
        <f aca="false">IF(OR(E31="",F31=""),"",WORKDAY(E31,F31,Lists!$L$4:$L$13))</f>
        <v/>
      </c>
      <c r="H31" s="22"/>
      <c r="I31" s="24"/>
      <c r="J31" s="25" t="str">
        <f aca="false">IF(B31="","",IF(I31="","Open","Closed"))</f>
        <v/>
      </c>
      <c r="K31" s="23" t="str">
        <f aca="false">IF(G31="","",IF(I31="",IF(Lists!$E$4&gt;G31,"Overdue","Open - within SLA"),IF(I31&lt;=G31,"Met","Breached")))</f>
        <v/>
      </c>
      <c r="L31" s="25" t="str">
        <f aca="false">IF(E31="","",MAX(0,NETWORKDAYS(E31,IF(I31="",Lists!$E$4,I31),Lists!$L$4:$L$13)-1))</f>
        <v/>
      </c>
      <c r="M31" s="22"/>
      <c r="N31" s="22"/>
    </row>
    <row r="32" customFormat="false" ht="15" hidden="false" customHeight="false" outlineLevel="0" collapsed="false">
      <c r="A32" s="22"/>
      <c r="B32" s="22"/>
      <c r="C32" s="22"/>
      <c r="D32" s="23" t="str">
        <f aca="false">IF(C32="","",IFERROR(INDEX(Employees!$B$5:$B$200,MATCH(C32,Employees!$A$5:$A$200,0)),"ID not found"))</f>
        <v/>
      </c>
      <c r="E32" s="24"/>
      <c r="F32" s="25" t="str">
        <f aca="false">IF(B32="","",IFERROR(INDEX(Lists!$B$4:$B$10,MATCH(B32,Lists!$A$4:$A$10,0)),""))</f>
        <v/>
      </c>
      <c r="G32" s="26" t="str">
        <f aca="false">IF(OR(E32="",F32=""),"",WORKDAY(E32,F32,Lists!$L$4:$L$13))</f>
        <v/>
      </c>
      <c r="H32" s="22"/>
      <c r="I32" s="24"/>
      <c r="J32" s="25" t="str">
        <f aca="false">IF(B32="","",IF(I32="","Open","Closed"))</f>
        <v/>
      </c>
      <c r="K32" s="23" t="str">
        <f aca="false">IF(G32="","",IF(I32="",IF(Lists!$E$4&gt;G32,"Overdue","Open - within SLA"),IF(I32&lt;=G32,"Met","Breached")))</f>
        <v/>
      </c>
      <c r="L32" s="25" t="str">
        <f aca="false">IF(E32="","",MAX(0,NETWORKDAYS(E32,IF(I32="",Lists!$E$4,I32),Lists!$L$4:$L$13)-1))</f>
        <v/>
      </c>
      <c r="M32" s="22"/>
      <c r="N32" s="22"/>
    </row>
    <row r="33" customFormat="false" ht="15" hidden="false" customHeight="false" outlineLevel="0" collapsed="false">
      <c r="A33" s="22"/>
      <c r="B33" s="22"/>
      <c r="C33" s="22"/>
      <c r="D33" s="23" t="str">
        <f aca="false">IF(C33="","",IFERROR(INDEX(Employees!$B$5:$B$200,MATCH(C33,Employees!$A$5:$A$200,0)),"ID not found"))</f>
        <v/>
      </c>
      <c r="E33" s="24"/>
      <c r="F33" s="25" t="str">
        <f aca="false">IF(B33="","",IFERROR(INDEX(Lists!$B$4:$B$10,MATCH(B33,Lists!$A$4:$A$10,0)),""))</f>
        <v/>
      </c>
      <c r="G33" s="26" t="str">
        <f aca="false">IF(OR(E33="",F33=""),"",WORKDAY(E33,F33,Lists!$L$4:$L$13))</f>
        <v/>
      </c>
      <c r="H33" s="22"/>
      <c r="I33" s="24"/>
      <c r="J33" s="25" t="str">
        <f aca="false">IF(B33="","",IF(I33="","Open","Closed"))</f>
        <v/>
      </c>
      <c r="K33" s="23" t="str">
        <f aca="false">IF(G33="","",IF(I33="",IF(Lists!$E$4&gt;G33,"Overdue","Open - within SLA"),IF(I33&lt;=G33,"Met","Breached")))</f>
        <v/>
      </c>
      <c r="L33" s="25" t="str">
        <f aca="false">IF(E33="","",MAX(0,NETWORKDAYS(E33,IF(I33="",Lists!$E$4,I33),Lists!$L$4:$L$13)-1))</f>
        <v/>
      </c>
      <c r="M33" s="22"/>
      <c r="N33" s="22"/>
    </row>
    <row r="34" customFormat="false" ht="15" hidden="false" customHeight="false" outlineLevel="0" collapsed="false">
      <c r="A34" s="22"/>
      <c r="B34" s="22"/>
      <c r="C34" s="22"/>
      <c r="D34" s="23" t="str">
        <f aca="false">IF(C34="","",IFERROR(INDEX(Employees!$B$5:$B$200,MATCH(C34,Employees!$A$5:$A$200,0)),"ID not found"))</f>
        <v/>
      </c>
      <c r="E34" s="24"/>
      <c r="F34" s="25" t="str">
        <f aca="false">IF(B34="","",IFERROR(INDEX(Lists!$B$4:$B$10,MATCH(B34,Lists!$A$4:$A$10,0)),""))</f>
        <v/>
      </c>
      <c r="G34" s="26" t="str">
        <f aca="false">IF(OR(E34="",F34=""),"",WORKDAY(E34,F34,Lists!$L$4:$L$13))</f>
        <v/>
      </c>
      <c r="H34" s="22"/>
      <c r="I34" s="24"/>
      <c r="J34" s="25" t="str">
        <f aca="false">IF(B34="","",IF(I34="","Open","Closed"))</f>
        <v/>
      </c>
      <c r="K34" s="23" t="str">
        <f aca="false">IF(G34="","",IF(I34="",IF(Lists!$E$4&gt;G34,"Overdue","Open - within SLA"),IF(I34&lt;=G34,"Met","Breached")))</f>
        <v/>
      </c>
      <c r="L34" s="25" t="str">
        <f aca="false">IF(E34="","",MAX(0,NETWORKDAYS(E34,IF(I34="",Lists!$E$4,I34),Lists!$L$4:$L$13)-1))</f>
        <v/>
      </c>
      <c r="M34" s="22"/>
      <c r="N34" s="22"/>
    </row>
    <row r="35" customFormat="false" ht="15" hidden="false" customHeight="false" outlineLevel="0" collapsed="false">
      <c r="A35" s="22"/>
      <c r="B35" s="22"/>
      <c r="C35" s="22"/>
      <c r="D35" s="23" t="str">
        <f aca="false">IF(C35="","",IFERROR(INDEX(Employees!$B$5:$B$200,MATCH(C35,Employees!$A$5:$A$200,0)),"ID not found"))</f>
        <v/>
      </c>
      <c r="E35" s="24"/>
      <c r="F35" s="25" t="str">
        <f aca="false">IF(B35="","",IFERROR(INDEX(Lists!$B$4:$B$10,MATCH(B35,Lists!$A$4:$A$10,0)),""))</f>
        <v/>
      </c>
      <c r="G35" s="26" t="str">
        <f aca="false">IF(OR(E35="",F35=""),"",WORKDAY(E35,F35,Lists!$L$4:$L$13))</f>
        <v/>
      </c>
      <c r="H35" s="22"/>
      <c r="I35" s="24"/>
      <c r="J35" s="25" t="str">
        <f aca="false">IF(B35="","",IF(I35="","Open","Closed"))</f>
        <v/>
      </c>
      <c r="K35" s="23" t="str">
        <f aca="false">IF(G35="","",IF(I35="",IF(Lists!$E$4&gt;G35,"Overdue","Open - within SLA"),IF(I35&lt;=G35,"Met","Breached")))</f>
        <v/>
      </c>
      <c r="L35" s="25" t="str">
        <f aca="false">IF(E35="","",MAX(0,NETWORKDAYS(E35,IF(I35="",Lists!$E$4,I35),Lists!$L$4:$L$13)-1))</f>
        <v/>
      </c>
      <c r="M35" s="22"/>
      <c r="N35" s="22"/>
    </row>
    <row r="36" customFormat="false" ht="15" hidden="false" customHeight="false" outlineLevel="0" collapsed="false">
      <c r="A36" s="22"/>
      <c r="B36" s="22"/>
      <c r="C36" s="22"/>
      <c r="D36" s="23" t="str">
        <f aca="false">IF(C36="","",IFERROR(INDEX(Employees!$B$5:$B$200,MATCH(C36,Employees!$A$5:$A$200,0)),"ID not found"))</f>
        <v/>
      </c>
      <c r="E36" s="24"/>
      <c r="F36" s="25" t="str">
        <f aca="false">IF(B36="","",IFERROR(INDEX(Lists!$B$4:$B$10,MATCH(B36,Lists!$A$4:$A$10,0)),""))</f>
        <v/>
      </c>
      <c r="G36" s="26" t="str">
        <f aca="false">IF(OR(E36="",F36=""),"",WORKDAY(E36,F36,Lists!$L$4:$L$13))</f>
        <v/>
      </c>
      <c r="H36" s="22"/>
      <c r="I36" s="24"/>
      <c r="J36" s="25" t="str">
        <f aca="false">IF(B36="","",IF(I36="","Open","Closed"))</f>
        <v/>
      </c>
      <c r="K36" s="23" t="str">
        <f aca="false">IF(G36="","",IF(I36="",IF(Lists!$E$4&gt;G36,"Overdue","Open - within SLA"),IF(I36&lt;=G36,"Met","Breached")))</f>
        <v/>
      </c>
      <c r="L36" s="25" t="str">
        <f aca="false">IF(E36="","",MAX(0,NETWORKDAYS(E36,IF(I36="",Lists!$E$4,I36),Lists!$L$4:$L$13)-1))</f>
        <v/>
      </c>
      <c r="M36" s="22"/>
      <c r="N36" s="22"/>
    </row>
    <row r="37" customFormat="false" ht="15" hidden="false" customHeight="false" outlineLevel="0" collapsed="false">
      <c r="A37" s="22"/>
      <c r="B37" s="22"/>
      <c r="C37" s="22"/>
      <c r="D37" s="23" t="str">
        <f aca="false">IF(C37="","",IFERROR(INDEX(Employees!$B$5:$B$200,MATCH(C37,Employees!$A$5:$A$200,0)),"ID not found"))</f>
        <v/>
      </c>
      <c r="E37" s="24"/>
      <c r="F37" s="25" t="str">
        <f aca="false">IF(B37="","",IFERROR(INDEX(Lists!$B$4:$B$10,MATCH(B37,Lists!$A$4:$A$10,0)),""))</f>
        <v/>
      </c>
      <c r="G37" s="26" t="str">
        <f aca="false">IF(OR(E37="",F37=""),"",WORKDAY(E37,F37,Lists!$L$4:$L$13))</f>
        <v/>
      </c>
      <c r="H37" s="22"/>
      <c r="I37" s="24"/>
      <c r="J37" s="25" t="str">
        <f aca="false">IF(B37="","",IF(I37="","Open","Closed"))</f>
        <v/>
      </c>
      <c r="K37" s="23" t="str">
        <f aca="false">IF(G37="","",IF(I37="",IF(Lists!$E$4&gt;G37,"Overdue","Open - within SLA"),IF(I37&lt;=G37,"Met","Breached")))</f>
        <v/>
      </c>
      <c r="L37" s="25" t="str">
        <f aca="false">IF(E37="","",MAX(0,NETWORKDAYS(E37,IF(I37="",Lists!$E$4,I37),Lists!$L$4:$L$13)-1))</f>
        <v/>
      </c>
      <c r="M37" s="22"/>
      <c r="N37" s="22"/>
    </row>
    <row r="38" customFormat="false" ht="15" hidden="false" customHeight="false" outlineLevel="0" collapsed="false">
      <c r="A38" s="22"/>
      <c r="B38" s="22"/>
      <c r="C38" s="22"/>
      <c r="D38" s="23" t="str">
        <f aca="false">IF(C38="","",IFERROR(INDEX(Employees!$B$5:$B$200,MATCH(C38,Employees!$A$5:$A$200,0)),"ID not found"))</f>
        <v/>
      </c>
      <c r="E38" s="24"/>
      <c r="F38" s="25" t="str">
        <f aca="false">IF(B38="","",IFERROR(INDEX(Lists!$B$4:$B$10,MATCH(B38,Lists!$A$4:$A$10,0)),""))</f>
        <v/>
      </c>
      <c r="G38" s="26" t="str">
        <f aca="false">IF(OR(E38="",F38=""),"",WORKDAY(E38,F38,Lists!$L$4:$L$13))</f>
        <v/>
      </c>
      <c r="H38" s="22"/>
      <c r="I38" s="24"/>
      <c r="J38" s="25" t="str">
        <f aca="false">IF(B38="","",IF(I38="","Open","Closed"))</f>
        <v/>
      </c>
      <c r="K38" s="23" t="str">
        <f aca="false">IF(G38="","",IF(I38="",IF(Lists!$E$4&gt;G38,"Overdue","Open - within SLA"),IF(I38&lt;=G38,"Met","Breached")))</f>
        <v/>
      </c>
      <c r="L38" s="25" t="str">
        <f aca="false">IF(E38="","",MAX(0,NETWORKDAYS(E38,IF(I38="",Lists!$E$4,I38),Lists!$L$4:$L$13)-1))</f>
        <v/>
      </c>
      <c r="M38" s="22"/>
      <c r="N38" s="22"/>
    </row>
    <row r="39" customFormat="false" ht="15" hidden="false" customHeight="false" outlineLevel="0" collapsed="false">
      <c r="A39" s="22"/>
      <c r="B39" s="22"/>
      <c r="C39" s="22"/>
      <c r="D39" s="23" t="str">
        <f aca="false">IF(C39="","",IFERROR(INDEX(Employees!$B$5:$B$200,MATCH(C39,Employees!$A$5:$A$200,0)),"ID not found"))</f>
        <v/>
      </c>
      <c r="E39" s="24"/>
      <c r="F39" s="25" t="str">
        <f aca="false">IF(B39="","",IFERROR(INDEX(Lists!$B$4:$B$10,MATCH(B39,Lists!$A$4:$A$10,0)),""))</f>
        <v/>
      </c>
      <c r="G39" s="26" t="str">
        <f aca="false">IF(OR(E39="",F39=""),"",WORKDAY(E39,F39,Lists!$L$4:$L$13))</f>
        <v/>
      </c>
      <c r="H39" s="22"/>
      <c r="I39" s="24"/>
      <c r="J39" s="25" t="str">
        <f aca="false">IF(B39="","",IF(I39="","Open","Closed"))</f>
        <v/>
      </c>
      <c r="K39" s="23" t="str">
        <f aca="false">IF(G39="","",IF(I39="",IF(Lists!$E$4&gt;G39,"Overdue","Open - within SLA"),IF(I39&lt;=G39,"Met","Breached")))</f>
        <v/>
      </c>
      <c r="L39" s="25" t="str">
        <f aca="false">IF(E39="","",MAX(0,NETWORKDAYS(E39,IF(I39="",Lists!$E$4,I39),Lists!$L$4:$L$13)-1))</f>
        <v/>
      </c>
      <c r="M39" s="22"/>
      <c r="N39" s="22"/>
    </row>
    <row r="40" customFormat="false" ht="15" hidden="false" customHeight="false" outlineLevel="0" collapsed="false">
      <c r="A40" s="22"/>
      <c r="B40" s="22"/>
      <c r="C40" s="22"/>
      <c r="D40" s="23" t="str">
        <f aca="false">IF(C40="","",IFERROR(INDEX(Employees!$B$5:$B$200,MATCH(C40,Employees!$A$5:$A$200,0)),"ID not found"))</f>
        <v/>
      </c>
      <c r="E40" s="24"/>
      <c r="F40" s="25" t="str">
        <f aca="false">IF(B40="","",IFERROR(INDEX(Lists!$B$4:$B$10,MATCH(B40,Lists!$A$4:$A$10,0)),""))</f>
        <v/>
      </c>
      <c r="G40" s="26" t="str">
        <f aca="false">IF(OR(E40="",F40=""),"",WORKDAY(E40,F40,Lists!$L$4:$L$13))</f>
        <v/>
      </c>
      <c r="H40" s="22"/>
      <c r="I40" s="24"/>
      <c r="J40" s="25" t="str">
        <f aca="false">IF(B40="","",IF(I40="","Open","Closed"))</f>
        <v/>
      </c>
      <c r="K40" s="23" t="str">
        <f aca="false">IF(G40="","",IF(I40="",IF(Lists!$E$4&gt;G40,"Overdue","Open - within SLA"),IF(I40&lt;=G40,"Met","Breached")))</f>
        <v/>
      </c>
      <c r="L40" s="25" t="str">
        <f aca="false">IF(E40="","",MAX(0,NETWORKDAYS(E40,IF(I40="",Lists!$E$4,I40),Lists!$L$4:$L$13)-1))</f>
        <v/>
      </c>
      <c r="M40" s="22"/>
      <c r="N40" s="22"/>
    </row>
    <row r="41" customFormat="false" ht="15" hidden="false" customHeight="false" outlineLevel="0" collapsed="false">
      <c r="A41" s="22"/>
      <c r="B41" s="22"/>
      <c r="C41" s="22"/>
      <c r="D41" s="23" t="str">
        <f aca="false">IF(C41="","",IFERROR(INDEX(Employees!$B$5:$B$200,MATCH(C41,Employees!$A$5:$A$200,0)),"ID not found"))</f>
        <v/>
      </c>
      <c r="E41" s="24"/>
      <c r="F41" s="25" t="str">
        <f aca="false">IF(B41="","",IFERROR(INDEX(Lists!$B$4:$B$10,MATCH(B41,Lists!$A$4:$A$10,0)),""))</f>
        <v/>
      </c>
      <c r="G41" s="26" t="str">
        <f aca="false">IF(OR(E41="",F41=""),"",WORKDAY(E41,F41,Lists!$L$4:$L$13))</f>
        <v/>
      </c>
      <c r="H41" s="22"/>
      <c r="I41" s="24"/>
      <c r="J41" s="25" t="str">
        <f aca="false">IF(B41="","",IF(I41="","Open","Closed"))</f>
        <v/>
      </c>
      <c r="K41" s="23" t="str">
        <f aca="false">IF(G41="","",IF(I41="",IF(Lists!$E$4&gt;G41,"Overdue","Open - within SLA"),IF(I41&lt;=G41,"Met","Breached")))</f>
        <v/>
      </c>
      <c r="L41" s="25" t="str">
        <f aca="false">IF(E41="","",MAX(0,NETWORKDAYS(E41,IF(I41="",Lists!$E$4,I41),Lists!$L$4:$L$13)-1))</f>
        <v/>
      </c>
      <c r="M41" s="22"/>
      <c r="N41" s="22"/>
    </row>
    <row r="42" customFormat="false" ht="15" hidden="false" customHeight="false" outlineLevel="0" collapsed="false">
      <c r="A42" s="22"/>
      <c r="B42" s="22"/>
      <c r="C42" s="22"/>
      <c r="D42" s="23" t="str">
        <f aca="false">IF(C42="","",IFERROR(INDEX(Employees!$B$5:$B$200,MATCH(C42,Employees!$A$5:$A$200,0)),"ID not found"))</f>
        <v/>
      </c>
      <c r="E42" s="24"/>
      <c r="F42" s="25" t="str">
        <f aca="false">IF(B42="","",IFERROR(INDEX(Lists!$B$4:$B$10,MATCH(B42,Lists!$A$4:$A$10,0)),""))</f>
        <v/>
      </c>
      <c r="G42" s="26" t="str">
        <f aca="false">IF(OR(E42="",F42=""),"",WORKDAY(E42,F42,Lists!$L$4:$L$13))</f>
        <v/>
      </c>
      <c r="H42" s="22"/>
      <c r="I42" s="24"/>
      <c r="J42" s="25" t="str">
        <f aca="false">IF(B42="","",IF(I42="","Open","Closed"))</f>
        <v/>
      </c>
      <c r="K42" s="23" t="str">
        <f aca="false">IF(G42="","",IF(I42="",IF(Lists!$E$4&gt;G42,"Overdue","Open - within SLA"),IF(I42&lt;=G42,"Met","Breached")))</f>
        <v/>
      </c>
      <c r="L42" s="25" t="str">
        <f aca="false">IF(E42="","",MAX(0,NETWORKDAYS(E42,IF(I42="",Lists!$E$4,I42),Lists!$L$4:$L$13)-1))</f>
        <v/>
      </c>
      <c r="M42" s="22"/>
      <c r="N42" s="22"/>
    </row>
    <row r="43" customFormat="false" ht="15" hidden="false" customHeight="false" outlineLevel="0" collapsed="false">
      <c r="A43" s="22"/>
      <c r="B43" s="22"/>
      <c r="C43" s="22"/>
      <c r="D43" s="23" t="str">
        <f aca="false">IF(C43="","",IFERROR(INDEX(Employees!$B$5:$B$200,MATCH(C43,Employees!$A$5:$A$200,0)),"ID not found"))</f>
        <v/>
      </c>
      <c r="E43" s="24"/>
      <c r="F43" s="25" t="str">
        <f aca="false">IF(B43="","",IFERROR(INDEX(Lists!$B$4:$B$10,MATCH(B43,Lists!$A$4:$A$10,0)),""))</f>
        <v/>
      </c>
      <c r="G43" s="26" t="str">
        <f aca="false">IF(OR(E43="",F43=""),"",WORKDAY(E43,F43,Lists!$L$4:$L$13))</f>
        <v/>
      </c>
      <c r="H43" s="22"/>
      <c r="I43" s="24"/>
      <c r="J43" s="25" t="str">
        <f aca="false">IF(B43="","",IF(I43="","Open","Closed"))</f>
        <v/>
      </c>
      <c r="K43" s="23" t="str">
        <f aca="false">IF(G43="","",IF(I43="",IF(Lists!$E$4&gt;G43,"Overdue","Open - within SLA"),IF(I43&lt;=G43,"Met","Breached")))</f>
        <v/>
      </c>
      <c r="L43" s="25" t="str">
        <f aca="false">IF(E43="","",MAX(0,NETWORKDAYS(E43,IF(I43="",Lists!$E$4,I43),Lists!$L$4:$L$13)-1))</f>
        <v/>
      </c>
      <c r="M43" s="22"/>
      <c r="N43" s="22"/>
    </row>
    <row r="44" customFormat="false" ht="15" hidden="false" customHeight="false" outlineLevel="0" collapsed="false">
      <c r="A44" s="22"/>
      <c r="B44" s="22"/>
      <c r="C44" s="22"/>
      <c r="D44" s="23" t="str">
        <f aca="false">IF(C44="","",IFERROR(INDEX(Employees!$B$5:$B$200,MATCH(C44,Employees!$A$5:$A$200,0)),"ID not found"))</f>
        <v/>
      </c>
      <c r="E44" s="24"/>
      <c r="F44" s="25" t="str">
        <f aca="false">IF(B44="","",IFERROR(INDEX(Lists!$B$4:$B$10,MATCH(B44,Lists!$A$4:$A$10,0)),""))</f>
        <v/>
      </c>
      <c r="G44" s="26" t="str">
        <f aca="false">IF(OR(E44="",F44=""),"",WORKDAY(E44,F44,Lists!$L$4:$L$13))</f>
        <v/>
      </c>
      <c r="H44" s="22"/>
      <c r="I44" s="24"/>
      <c r="J44" s="25" t="str">
        <f aca="false">IF(B44="","",IF(I44="","Open","Closed"))</f>
        <v/>
      </c>
      <c r="K44" s="23" t="str">
        <f aca="false">IF(G44="","",IF(I44="",IF(Lists!$E$4&gt;G44,"Overdue","Open - within SLA"),IF(I44&lt;=G44,"Met","Breached")))</f>
        <v/>
      </c>
      <c r="L44" s="25" t="str">
        <f aca="false">IF(E44="","",MAX(0,NETWORKDAYS(E44,IF(I44="",Lists!$E$4,I44),Lists!$L$4:$L$13)-1))</f>
        <v/>
      </c>
      <c r="M44" s="22"/>
      <c r="N44" s="22"/>
    </row>
    <row r="45" customFormat="false" ht="15" hidden="false" customHeight="false" outlineLevel="0" collapsed="false">
      <c r="A45" s="22"/>
      <c r="B45" s="22"/>
      <c r="C45" s="22"/>
      <c r="D45" s="23" t="str">
        <f aca="false">IF(C45="","",IFERROR(INDEX(Employees!$B$5:$B$200,MATCH(C45,Employees!$A$5:$A$200,0)),"ID not found"))</f>
        <v/>
      </c>
      <c r="E45" s="24"/>
      <c r="F45" s="25" t="str">
        <f aca="false">IF(B45="","",IFERROR(INDEX(Lists!$B$4:$B$10,MATCH(B45,Lists!$A$4:$A$10,0)),""))</f>
        <v/>
      </c>
      <c r="G45" s="26" t="str">
        <f aca="false">IF(OR(E45="",F45=""),"",WORKDAY(E45,F45,Lists!$L$4:$L$13))</f>
        <v/>
      </c>
      <c r="H45" s="22"/>
      <c r="I45" s="24"/>
      <c r="J45" s="25" t="str">
        <f aca="false">IF(B45="","",IF(I45="","Open","Closed"))</f>
        <v/>
      </c>
      <c r="K45" s="23" t="str">
        <f aca="false">IF(G45="","",IF(I45="",IF(Lists!$E$4&gt;G45,"Overdue","Open - within SLA"),IF(I45&lt;=G45,"Met","Breached")))</f>
        <v/>
      </c>
      <c r="L45" s="25" t="str">
        <f aca="false">IF(E45="","",MAX(0,NETWORKDAYS(E45,IF(I45="",Lists!$E$4,I45),Lists!$L$4:$L$13)-1))</f>
        <v/>
      </c>
      <c r="M45" s="22"/>
      <c r="N45" s="22"/>
    </row>
    <row r="46" customFormat="false" ht="15" hidden="false" customHeight="false" outlineLevel="0" collapsed="false">
      <c r="A46" s="22"/>
      <c r="B46" s="22"/>
      <c r="C46" s="22"/>
      <c r="D46" s="23" t="str">
        <f aca="false">IF(C46="","",IFERROR(INDEX(Employees!$B$5:$B$200,MATCH(C46,Employees!$A$5:$A$200,0)),"ID not found"))</f>
        <v/>
      </c>
      <c r="E46" s="24"/>
      <c r="F46" s="25" t="str">
        <f aca="false">IF(B46="","",IFERROR(INDEX(Lists!$B$4:$B$10,MATCH(B46,Lists!$A$4:$A$10,0)),""))</f>
        <v/>
      </c>
      <c r="G46" s="26" t="str">
        <f aca="false">IF(OR(E46="",F46=""),"",WORKDAY(E46,F46,Lists!$L$4:$L$13))</f>
        <v/>
      </c>
      <c r="H46" s="22"/>
      <c r="I46" s="24"/>
      <c r="J46" s="25" t="str">
        <f aca="false">IF(B46="","",IF(I46="","Open","Closed"))</f>
        <v/>
      </c>
      <c r="K46" s="23" t="str">
        <f aca="false">IF(G46="","",IF(I46="",IF(Lists!$E$4&gt;G46,"Overdue","Open - within SLA"),IF(I46&lt;=G46,"Met","Breached")))</f>
        <v/>
      </c>
      <c r="L46" s="25" t="str">
        <f aca="false">IF(E46="","",MAX(0,NETWORKDAYS(E46,IF(I46="",Lists!$E$4,I46),Lists!$L$4:$L$13)-1))</f>
        <v/>
      </c>
      <c r="M46" s="22"/>
      <c r="N46" s="22"/>
    </row>
    <row r="47" customFormat="false" ht="15" hidden="false" customHeight="false" outlineLevel="0" collapsed="false">
      <c r="A47" s="22"/>
      <c r="B47" s="22"/>
      <c r="C47" s="22"/>
      <c r="D47" s="23" t="str">
        <f aca="false">IF(C47="","",IFERROR(INDEX(Employees!$B$5:$B$200,MATCH(C47,Employees!$A$5:$A$200,0)),"ID not found"))</f>
        <v/>
      </c>
      <c r="E47" s="24"/>
      <c r="F47" s="25" t="str">
        <f aca="false">IF(B47="","",IFERROR(INDEX(Lists!$B$4:$B$10,MATCH(B47,Lists!$A$4:$A$10,0)),""))</f>
        <v/>
      </c>
      <c r="G47" s="26" t="str">
        <f aca="false">IF(OR(E47="",F47=""),"",WORKDAY(E47,F47,Lists!$L$4:$L$13))</f>
        <v/>
      </c>
      <c r="H47" s="22"/>
      <c r="I47" s="24"/>
      <c r="J47" s="25" t="str">
        <f aca="false">IF(B47="","",IF(I47="","Open","Closed"))</f>
        <v/>
      </c>
      <c r="K47" s="23" t="str">
        <f aca="false">IF(G47="","",IF(I47="",IF(Lists!$E$4&gt;G47,"Overdue","Open - within SLA"),IF(I47&lt;=G47,"Met","Breached")))</f>
        <v/>
      </c>
      <c r="L47" s="25" t="str">
        <f aca="false">IF(E47="","",MAX(0,NETWORKDAYS(E47,IF(I47="",Lists!$E$4,I47),Lists!$L$4:$L$13)-1))</f>
        <v/>
      </c>
      <c r="M47" s="22"/>
      <c r="N47" s="22"/>
    </row>
    <row r="48" customFormat="false" ht="15" hidden="false" customHeight="false" outlineLevel="0" collapsed="false">
      <c r="A48" s="22"/>
      <c r="B48" s="22"/>
      <c r="C48" s="22"/>
      <c r="D48" s="23" t="str">
        <f aca="false">IF(C48="","",IFERROR(INDEX(Employees!$B$5:$B$200,MATCH(C48,Employees!$A$5:$A$200,0)),"ID not found"))</f>
        <v/>
      </c>
      <c r="E48" s="24"/>
      <c r="F48" s="25" t="str">
        <f aca="false">IF(B48="","",IFERROR(INDEX(Lists!$B$4:$B$10,MATCH(B48,Lists!$A$4:$A$10,0)),""))</f>
        <v/>
      </c>
      <c r="G48" s="26" t="str">
        <f aca="false">IF(OR(E48="",F48=""),"",WORKDAY(E48,F48,Lists!$L$4:$L$13))</f>
        <v/>
      </c>
      <c r="H48" s="22"/>
      <c r="I48" s="24"/>
      <c r="J48" s="25" t="str">
        <f aca="false">IF(B48="","",IF(I48="","Open","Closed"))</f>
        <v/>
      </c>
      <c r="K48" s="23" t="str">
        <f aca="false">IF(G48="","",IF(I48="",IF(Lists!$E$4&gt;G48,"Overdue","Open - within SLA"),IF(I48&lt;=G48,"Met","Breached")))</f>
        <v/>
      </c>
      <c r="L48" s="25" t="str">
        <f aca="false">IF(E48="","",MAX(0,NETWORKDAYS(E48,IF(I48="",Lists!$E$4,I48),Lists!$L$4:$L$13)-1))</f>
        <v/>
      </c>
      <c r="M48" s="22"/>
      <c r="N48" s="22"/>
    </row>
    <row r="49" customFormat="false" ht="15" hidden="false" customHeight="false" outlineLevel="0" collapsed="false">
      <c r="A49" s="22"/>
      <c r="B49" s="22"/>
      <c r="C49" s="22"/>
      <c r="D49" s="23" t="str">
        <f aca="false">IF(C49="","",IFERROR(INDEX(Employees!$B$5:$B$200,MATCH(C49,Employees!$A$5:$A$200,0)),"ID not found"))</f>
        <v/>
      </c>
      <c r="E49" s="24"/>
      <c r="F49" s="25" t="str">
        <f aca="false">IF(B49="","",IFERROR(INDEX(Lists!$B$4:$B$10,MATCH(B49,Lists!$A$4:$A$10,0)),""))</f>
        <v/>
      </c>
      <c r="G49" s="26" t="str">
        <f aca="false">IF(OR(E49="",F49=""),"",WORKDAY(E49,F49,Lists!$L$4:$L$13))</f>
        <v/>
      </c>
      <c r="H49" s="22"/>
      <c r="I49" s="24"/>
      <c r="J49" s="25" t="str">
        <f aca="false">IF(B49="","",IF(I49="","Open","Closed"))</f>
        <v/>
      </c>
      <c r="K49" s="23" t="str">
        <f aca="false">IF(G49="","",IF(I49="",IF(Lists!$E$4&gt;G49,"Overdue","Open - within SLA"),IF(I49&lt;=G49,"Met","Breached")))</f>
        <v/>
      </c>
      <c r="L49" s="25" t="str">
        <f aca="false">IF(E49="","",MAX(0,NETWORKDAYS(E49,IF(I49="",Lists!$E$4,I49),Lists!$L$4:$L$13)-1))</f>
        <v/>
      </c>
      <c r="M49" s="22"/>
      <c r="N49" s="22"/>
    </row>
    <row r="50" customFormat="false" ht="15" hidden="false" customHeight="false" outlineLevel="0" collapsed="false">
      <c r="A50" s="22"/>
      <c r="B50" s="22"/>
      <c r="C50" s="22"/>
      <c r="D50" s="23" t="str">
        <f aca="false">IF(C50="","",IFERROR(INDEX(Employees!$B$5:$B$200,MATCH(C50,Employees!$A$5:$A$200,0)),"ID not found"))</f>
        <v/>
      </c>
      <c r="E50" s="24"/>
      <c r="F50" s="25" t="str">
        <f aca="false">IF(B50="","",IFERROR(INDEX(Lists!$B$4:$B$10,MATCH(B50,Lists!$A$4:$A$10,0)),""))</f>
        <v/>
      </c>
      <c r="G50" s="26" t="str">
        <f aca="false">IF(OR(E50="",F50=""),"",WORKDAY(E50,F50,Lists!$L$4:$L$13))</f>
        <v/>
      </c>
      <c r="H50" s="22"/>
      <c r="I50" s="24"/>
      <c r="J50" s="25" t="str">
        <f aca="false">IF(B50="","",IF(I50="","Open","Closed"))</f>
        <v/>
      </c>
      <c r="K50" s="23" t="str">
        <f aca="false">IF(G50="","",IF(I50="",IF(Lists!$E$4&gt;G50,"Overdue","Open - within SLA"),IF(I50&lt;=G50,"Met","Breached")))</f>
        <v/>
      </c>
      <c r="L50" s="25" t="str">
        <f aca="false">IF(E50="","",MAX(0,NETWORKDAYS(E50,IF(I50="",Lists!$E$4,I50),Lists!$L$4:$L$13)-1))</f>
        <v/>
      </c>
      <c r="M50" s="22"/>
      <c r="N50" s="22"/>
    </row>
    <row r="51" customFormat="false" ht="15" hidden="false" customHeight="false" outlineLevel="0" collapsed="false">
      <c r="A51" s="22"/>
      <c r="B51" s="22"/>
      <c r="C51" s="22"/>
      <c r="D51" s="23" t="str">
        <f aca="false">IF(C51="","",IFERROR(INDEX(Employees!$B$5:$B$200,MATCH(C51,Employees!$A$5:$A$200,0)),"ID not found"))</f>
        <v/>
      </c>
      <c r="E51" s="24"/>
      <c r="F51" s="25" t="str">
        <f aca="false">IF(B51="","",IFERROR(INDEX(Lists!$B$4:$B$10,MATCH(B51,Lists!$A$4:$A$10,0)),""))</f>
        <v/>
      </c>
      <c r="G51" s="26" t="str">
        <f aca="false">IF(OR(E51="",F51=""),"",WORKDAY(E51,F51,Lists!$L$4:$L$13))</f>
        <v/>
      </c>
      <c r="H51" s="22"/>
      <c r="I51" s="24"/>
      <c r="J51" s="25" t="str">
        <f aca="false">IF(B51="","",IF(I51="","Open","Closed"))</f>
        <v/>
      </c>
      <c r="K51" s="23" t="str">
        <f aca="false">IF(G51="","",IF(I51="",IF(Lists!$E$4&gt;G51,"Overdue","Open - within SLA"),IF(I51&lt;=G51,"Met","Breached")))</f>
        <v/>
      </c>
      <c r="L51" s="25" t="str">
        <f aca="false">IF(E51="","",MAX(0,NETWORKDAYS(E51,IF(I51="",Lists!$E$4,I51),Lists!$L$4:$L$13)-1))</f>
        <v/>
      </c>
      <c r="M51" s="22"/>
      <c r="N51" s="22"/>
    </row>
    <row r="52" customFormat="false" ht="15" hidden="false" customHeight="false" outlineLevel="0" collapsed="false">
      <c r="A52" s="22"/>
      <c r="B52" s="22"/>
      <c r="C52" s="22"/>
      <c r="D52" s="23" t="str">
        <f aca="false">IF(C52="","",IFERROR(INDEX(Employees!$B$5:$B$200,MATCH(C52,Employees!$A$5:$A$200,0)),"ID not found"))</f>
        <v/>
      </c>
      <c r="E52" s="24"/>
      <c r="F52" s="25" t="str">
        <f aca="false">IF(B52="","",IFERROR(INDEX(Lists!$B$4:$B$10,MATCH(B52,Lists!$A$4:$A$10,0)),""))</f>
        <v/>
      </c>
      <c r="G52" s="26" t="str">
        <f aca="false">IF(OR(E52="",F52=""),"",WORKDAY(E52,F52,Lists!$L$4:$L$13))</f>
        <v/>
      </c>
      <c r="H52" s="22"/>
      <c r="I52" s="24"/>
      <c r="J52" s="25" t="str">
        <f aca="false">IF(B52="","",IF(I52="","Open","Closed"))</f>
        <v/>
      </c>
      <c r="K52" s="23" t="str">
        <f aca="false">IF(G52="","",IF(I52="",IF(Lists!$E$4&gt;G52,"Overdue","Open - within SLA"),IF(I52&lt;=G52,"Met","Breached")))</f>
        <v/>
      </c>
      <c r="L52" s="25" t="str">
        <f aca="false">IF(E52="","",MAX(0,NETWORKDAYS(E52,IF(I52="",Lists!$E$4,I52),Lists!$L$4:$L$13)-1))</f>
        <v/>
      </c>
      <c r="M52" s="22"/>
      <c r="N52" s="22"/>
    </row>
    <row r="53" customFormat="false" ht="15" hidden="false" customHeight="false" outlineLevel="0" collapsed="false">
      <c r="A53" s="22"/>
      <c r="B53" s="22"/>
      <c r="C53" s="22"/>
      <c r="D53" s="23" t="str">
        <f aca="false">IF(C53="","",IFERROR(INDEX(Employees!$B$5:$B$200,MATCH(C53,Employees!$A$5:$A$200,0)),"ID not found"))</f>
        <v/>
      </c>
      <c r="E53" s="24"/>
      <c r="F53" s="25" t="str">
        <f aca="false">IF(B53="","",IFERROR(INDEX(Lists!$B$4:$B$10,MATCH(B53,Lists!$A$4:$A$10,0)),""))</f>
        <v/>
      </c>
      <c r="G53" s="26" t="str">
        <f aca="false">IF(OR(E53="",F53=""),"",WORKDAY(E53,F53,Lists!$L$4:$L$13))</f>
        <v/>
      </c>
      <c r="H53" s="22"/>
      <c r="I53" s="24"/>
      <c r="J53" s="25" t="str">
        <f aca="false">IF(B53="","",IF(I53="","Open","Closed"))</f>
        <v/>
      </c>
      <c r="K53" s="23" t="str">
        <f aca="false">IF(G53="","",IF(I53="",IF(Lists!$E$4&gt;G53,"Overdue","Open - within SLA"),IF(I53&lt;=G53,"Met","Breached")))</f>
        <v/>
      </c>
      <c r="L53" s="25" t="str">
        <f aca="false">IF(E53="","",MAX(0,NETWORKDAYS(E53,IF(I53="",Lists!$E$4,I53),Lists!$L$4:$L$13)-1))</f>
        <v/>
      </c>
      <c r="M53" s="22"/>
      <c r="N53" s="22"/>
    </row>
    <row r="54" customFormat="false" ht="15" hidden="false" customHeight="false" outlineLevel="0" collapsed="false">
      <c r="A54" s="22"/>
      <c r="B54" s="22"/>
      <c r="C54" s="22"/>
      <c r="D54" s="23" t="str">
        <f aca="false">IF(C54="","",IFERROR(INDEX(Employees!$B$5:$B$200,MATCH(C54,Employees!$A$5:$A$200,0)),"ID not found"))</f>
        <v/>
      </c>
      <c r="E54" s="24"/>
      <c r="F54" s="25" t="str">
        <f aca="false">IF(B54="","",IFERROR(INDEX(Lists!$B$4:$B$10,MATCH(B54,Lists!$A$4:$A$10,0)),""))</f>
        <v/>
      </c>
      <c r="G54" s="26" t="str">
        <f aca="false">IF(OR(E54="",F54=""),"",WORKDAY(E54,F54,Lists!$L$4:$L$13))</f>
        <v/>
      </c>
      <c r="H54" s="22"/>
      <c r="I54" s="24"/>
      <c r="J54" s="25" t="str">
        <f aca="false">IF(B54="","",IF(I54="","Open","Closed"))</f>
        <v/>
      </c>
      <c r="K54" s="23" t="str">
        <f aca="false">IF(G54="","",IF(I54="",IF(Lists!$E$4&gt;G54,"Overdue","Open - within SLA"),IF(I54&lt;=G54,"Met","Breached")))</f>
        <v/>
      </c>
      <c r="L54" s="25" t="str">
        <f aca="false">IF(E54="","",MAX(0,NETWORKDAYS(E54,IF(I54="",Lists!$E$4,I54),Lists!$L$4:$L$13)-1))</f>
        <v/>
      </c>
      <c r="M54" s="22"/>
      <c r="N54" s="22"/>
    </row>
    <row r="55" customFormat="false" ht="15" hidden="false" customHeight="false" outlineLevel="0" collapsed="false">
      <c r="A55" s="22"/>
      <c r="B55" s="22"/>
      <c r="C55" s="22"/>
      <c r="D55" s="23" t="str">
        <f aca="false">IF(C55="","",IFERROR(INDEX(Employees!$B$5:$B$200,MATCH(C55,Employees!$A$5:$A$200,0)),"ID not found"))</f>
        <v/>
      </c>
      <c r="E55" s="24"/>
      <c r="F55" s="25" t="str">
        <f aca="false">IF(B55="","",IFERROR(INDEX(Lists!$B$4:$B$10,MATCH(B55,Lists!$A$4:$A$10,0)),""))</f>
        <v/>
      </c>
      <c r="G55" s="26" t="str">
        <f aca="false">IF(OR(E55="",F55=""),"",WORKDAY(E55,F55,Lists!$L$4:$L$13))</f>
        <v/>
      </c>
      <c r="H55" s="22"/>
      <c r="I55" s="24"/>
      <c r="J55" s="25" t="str">
        <f aca="false">IF(B55="","",IF(I55="","Open","Closed"))</f>
        <v/>
      </c>
      <c r="K55" s="23" t="str">
        <f aca="false">IF(G55="","",IF(I55="",IF(Lists!$E$4&gt;G55,"Overdue","Open - within SLA"),IF(I55&lt;=G55,"Met","Breached")))</f>
        <v/>
      </c>
      <c r="L55" s="25" t="str">
        <f aca="false">IF(E55="","",MAX(0,NETWORKDAYS(E55,IF(I55="",Lists!$E$4,I55),Lists!$L$4:$L$13)-1))</f>
        <v/>
      </c>
      <c r="M55" s="22"/>
      <c r="N55" s="22"/>
    </row>
    <row r="56" customFormat="false" ht="15" hidden="false" customHeight="false" outlineLevel="0" collapsed="false">
      <c r="A56" s="22"/>
      <c r="B56" s="22"/>
      <c r="C56" s="22"/>
      <c r="D56" s="23" t="str">
        <f aca="false">IF(C56="","",IFERROR(INDEX(Employees!$B$5:$B$200,MATCH(C56,Employees!$A$5:$A$200,0)),"ID not found"))</f>
        <v/>
      </c>
      <c r="E56" s="24"/>
      <c r="F56" s="25" t="str">
        <f aca="false">IF(B56="","",IFERROR(INDEX(Lists!$B$4:$B$10,MATCH(B56,Lists!$A$4:$A$10,0)),""))</f>
        <v/>
      </c>
      <c r="G56" s="26" t="str">
        <f aca="false">IF(OR(E56="",F56=""),"",WORKDAY(E56,F56,Lists!$L$4:$L$13))</f>
        <v/>
      </c>
      <c r="H56" s="22"/>
      <c r="I56" s="24"/>
      <c r="J56" s="25" t="str">
        <f aca="false">IF(B56="","",IF(I56="","Open","Closed"))</f>
        <v/>
      </c>
      <c r="K56" s="23" t="str">
        <f aca="false">IF(G56="","",IF(I56="",IF(Lists!$E$4&gt;G56,"Overdue","Open - within SLA"),IF(I56&lt;=G56,"Met","Breached")))</f>
        <v/>
      </c>
      <c r="L56" s="25" t="str">
        <f aca="false">IF(E56="","",MAX(0,NETWORKDAYS(E56,IF(I56="",Lists!$E$4,I56),Lists!$L$4:$L$13)-1))</f>
        <v/>
      </c>
      <c r="M56" s="22"/>
      <c r="N56" s="22"/>
    </row>
    <row r="57" customFormat="false" ht="15" hidden="false" customHeight="false" outlineLevel="0" collapsed="false">
      <c r="A57" s="22"/>
      <c r="B57" s="22"/>
      <c r="C57" s="22"/>
      <c r="D57" s="23" t="str">
        <f aca="false">IF(C57="","",IFERROR(INDEX(Employees!$B$5:$B$200,MATCH(C57,Employees!$A$5:$A$200,0)),"ID not found"))</f>
        <v/>
      </c>
      <c r="E57" s="24"/>
      <c r="F57" s="25" t="str">
        <f aca="false">IF(B57="","",IFERROR(INDEX(Lists!$B$4:$B$10,MATCH(B57,Lists!$A$4:$A$10,0)),""))</f>
        <v/>
      </c>
      <c r="G57" s="26" t="str">
        <f aca="false">IF(OR(E57="",F57=""),"",WORKDAY(E57,F57,Lists!$L$4:$L$13))</f>
        <v/>
      </c>
      <c r="H57" s="22"/>
      <c r="I57" s="24"/>
      <c r="J57" s="25" t="str">
        <f aca="false">IF(B57="","",IF(I57="","Open","Closed"))</f>
        <v/>
      </c>
      <c r="K57" s="23" t="str">
        <f aca="false">IF(G57="","",IF(I57="",IF(Lists!$E$4&gt;G57,"Overdue","Open - within SLA"),IF(I57&lt;=G57,"Met","Breached")))</f>
        <v/>
      </c>
      <c r="L57" s="25" t="str">
        <f aca="false">IF(E57="","",MAX(0,NETWORKDAYS(E57,IF(I57="",Lists!$E$4,I57),Lists!$L$4:$L$13)-1))</f>
        <v/>
      </c>
      <c r="M57" s="22"/>
      <c r="N57" s="22"/>
    </row>
    <row r="58" customFormat="false" ht="15" hidden="false" customHeight="false" outlineLevel="0" collapsed="false">
      <c r="A58" s="22"/>
      <c r="B58" s="22"/>
      <c r="C58" s="22"/>
      <c r="D58" s="23" t="str">
        <f aca="false">IF(C58="","",IFERROR(INDEX(Employees!$B$5:$B$200,MATCH(C58,Employees!$A$5:$A$200,0)),"ID not found"))</f>
        <v/>
      </c>
      <c r="E58" s="24"/>
      <c r="F58" s="25" t="str">
        <f aca="false">IF(B58="","",IFERROR(INDEX(Lists!$B$4:$B$10,MATCH(B58,Lists!$A$4:$A$10,0)),""))</f>
        <v/>
      </c>
      <c r="G58" s="26" t="str">
        <f aca="false">IF(OR(E58="",F58=""),"",WORKDAY(E58,F58,Lists!$L$4:$L$13))</f>
        <v/>
      </c>
      <c r="H58" s="22"/>
      <c r="I58" s="24"/>
      <c r="J58" s="25" t="str">
        <f aca="false">IF(B58="","",IF(I58="","Open","Closed"))</f>
        <v/>
      </c>
      <c r="K58" s="23" t="str">
        <f aca="false">IF(G58="","",IF(I58="",IF(Lists!$E$4&gt;G58,"Overdue","Open - within SLA"),IF(I58&lt;=G58,"Met","Breached")))</f>
        <v/>
      </c>
      <c r="L58" s="25" t="str">
        <f aca="false">IF(E58="","",MAX(0,NETWORKDAYS(E58,IF(I58="",Lists!$E$4,I58),Lists!$L$4:$L$13)-1))</f>
        <v/>
      </c>
      <c r="M58" s="22"/>
      <c r="N58" s="22"/>
    </row>
    <row r="59" customFormat="false" ht="15" hidden="false" customHeight="false" outlineLevel="0" collapsed="false">
      <c r="A59" s="22"/>
      <c r="B59" s="22"/>
      <c r="C59" s="22"/>
      <c r="D59" s="23" t="str">
        <f aca="false">IF(C59="","",IFERROR(INDEX(Employees!$B$5:$B$200,MATCH(C59,Employees!$A$5:$A$200,0)),"ID not found"))</f>
        <v/>
      </c>
      <c r="E59" s="24"/>
      <c r="F59" s="25" t="str">
        <f aca="false">IF(B59="","",IFERROR(INDEX(Lists!$B$4:$B$10,MATCH(B59,Lists!$A$4:$A$10,0)),""))</f>
        <v/>
      </c>
      <c r="G59" s="26" t="str">
        <f aca="false">IF(OR(E59="",F59=""),"",WORKDAY(E59,F59,Lists!$L$4:$L$13))</f>
        <v/>
      </c>
      <c r="H59" s="22"/>
      <c r="I59" s="24"/>
      <c r="J59" s="25" t="str">
        <f aca="false">IF(B59="","",IF(I59="","Open","Closed"))</f>
        <v/>
      </c>
      <c r="K59" s="23" t="str">
        <f aca="false">IF(G59="","",IF(I59="",IF(Lists!$E$4&gt;G59,"Overdue","Open - within SLA"),IF(I59&lt;=G59,"Met","Breached")))</f>
        <v/>
      </c>
      <c r="L59" s="25" t="str">
        <f aca="false">IF(E59="","",MAX(0,NETWORKDAYS(E59,IF(I59="",Lists!$E$4,I59),Lists!$L$4:$L$13)-1))</f>
        <v/>
      </c>
      <c r="M59" s="22"/>
      <c r="N59" s="22"/>
    </row>
    <row r="60" customFormat="false" ht="15" hidden="false" customHeight="false" outlineLevel="0" collapsed="false">
      <c r="A60" s="22"/>
      <c r="B60" s="22"/>
      <c r="C60" s="22"/>
      <c r="D60" s="23" t="str">
        <f aca="false">IF(C60="","",IFERROR(INDEX(Employees!$B$5:$B$200,MATCH(C60,Employees!$A$5:$A$200,0)),"ID not found"))</f>
        <v/>
      </c>
      <c r="E60" s="24"/>
      <c r="F60" s="25" t="str">
        <f aca="false">IF(B60="","",IFERROR(INDEX(Lists!$B$4:$B$10,MATCH(B60,Lists!$A$4:$A$10,0)),""))</f>
        <v/>
      </c>
      <c r="G60" s="26" t="str">
        <f aca="false">IF(OR(E60="",F60=""),"",WORKDAY(E60,F60,Lists!$L$4:$L$13))</f>
        <v/>
      </c>
      <c r="H60" s="22"/>
      <c r="I60" s="24"/>
      <c r="J60" s="25" t="str">
        <f aca="false">IF(B60="","",IF(I60="","Open","Closed"))</f>
        <v/>
      </c>
      <c r="K60" s="23" t="str">
        <f aca="false">IF(G60="","",IF(I60="",IF(Lists!$E$4&gt;G60,"Overdue","Open - within SLA"),IF(I60&lt;=G60,"Met","Breached")))</f>
        <v/>
      </c>
      <c r="L60" s="25" t="str">
        <f aca="false">IF(E60="","",MAX(0,NETWORKDAYS(E60,IF(I60="",Lists!$E$4,I60),Lists!$L$4:$L$13)-1))</f>
        <v/>
      </c>
      <c r="M60" s="22"/>
      <c r="N60" s="22"/>
    </row>
    <row r="61" customFormat="false" ht="15" hidden="false" customHeight="false" outlineLevel="0" collapsed="false">
      <c r="A61" s="22"/>
      <c r="B61" s="22"/>
      <c r="C61" s="22"/>
      <c r="D61" s="23" t="str">
        <f aca="false">IF(C61="","",IFERROR(INDEX(Employees!$B$5:$B$200,MATCH(C61,Employees!$A$5:$A$200,0)),"ID not found"))</f>
        <v/>
      </c>
      <c r="E61" s="24"/>
      <c r="F61" s="25" t="str">
        <f aca="false">IF(B61="","",IFERROR(INDEX(Lists!$B$4:$B$10,MATCH(B61,Lists!$A$4:$A$10,0)),""))</f>
        <v/>
      </c>
      <c r="G61" s="26" t="str">
        <f aca="false">IF(OR(E61="",F61=""),"",WORKDAY(E61,F61,Lists!$L$4:$L$13))</f>
        <v/>
      </c>
      <c r="H61" s="22"/>
      <c r="I61" s="24"/>
      <c r="J61" s="25" t="str">
        <f aca="false">IF(B61="","",IF(I61="","Open","Closed"))</f>
        <v/>
      </c>
      <c r="K61" s="23" t="str">
        <f aca="false">IF(G61="","",IF(I61="",IF(Lists!$E$4&gt;G61,"Overdue","Open - within SLA"),IF(I61&lt;=G61,"Met","Breached")))</f>
        <v/>
      </c>
      <c r="L61" s="25" t="str">
        <f aca="false">IF(E61="","",MAX(0,NETWORKDAYS(E61,IF(I61="",Lists!$E$4,I61),Lists!$L$4:$L$13)-1))</f>
        <v/>
      </c>
      <c r="M61" s="22"/>
      <c r="N61" s="22"/>
    </row>
    <row r="62" customFormat="false" ht="15" hidden="false" customHeight="false" outlineLevel="0" collapsed="false">
      <c r="A62" s="22"/>
      <c r="B62" s="22"/>
      <c r="C62" s="22"/>
      <c r="D62" s="23" t="str">
        <f aca="false">IF(C62="","",IFERROR(INDEX(Employees!$B$5:$B$200,MATCH(C62,Employees!$A$5:$A$200,0)),"ID not found"))</f>
        <v/>
      </c>
      <c r="E62" s="24"/>
      <c r="F62" s="25" t="str">
        <f aca="false">IF(B62="","",IFERROR(INDEX(Lists!$B$4:$B$10,MATCH(B62,Lists!$A$4:$A$10,0)),""))</f>
        <v/>
      </c>
      <c r="G62" s="26" t="str">
        <f aca="false">IF(OR(E62="",F62=""),"",WORKDAY(E62,F62,Lists!$L$4:$L$13))</f>
        <v/>
      </c>
      <c r="H62" s="22"/>
      <c r="I62" s="24"/>
      <c r="J62" s="25" t="str">
        <f aca="false">IF(B62="","",IF(I62="","Open","Closed"))</f>
        <v/>
      </c>
      <c r="K62" s="23" t="str">
        <f aca="false">IF(G62="","",IF(I62="",IF(Lists!$E$4&gt;G62,"Overdue","Open - within SLA"),IF(I62&lt;=G62,"Met","Breached")))</f>
        <v/>
      </c>
      <c r="L62" s="25" t="str">
        <f aca="false">IF(E62="","",MAX(0,NETWORKDAYS(E62,IF(I62="",Lists!$E$4,I62),Lists!$L$4:$L$13)-1))</f>
        <v/>
      </c>
      <c r="M62" s="22"/>
      <c r="N62" s="22"/>
    </row>
    <row r="63" customFormat="false" ht="15" hidden="false" customHeight="false" outlineLevel="0" collapsed="false">
      <c r="A63" s="22"/>
      <c r="B63" s="22"/>
      <c r="C63" s="22"/>
      <c r="D63" s="23" t="str">
        <f aca="false">IF(C63="","",IFERROR(INDEX(Employees!$B$5:$B$200,MATCH(C63,Employees!$A$5:$A$200,0)),"ID not found"))</f>
        <v/>
      </c>
      <c r="E63" s="24"/>
      <c r="F63" s="25" t="str">
        <f aca="false">IF(B63="","",IFERROR(INDEX(Lists!$B$4:$B$10,MATCH(B63,Lists!$A$4:$A$10,0)),""))</f>
        <v/>
      </c>
      <c r="G63" s="26" t="str">
        <f aca="false">IF(OR(E63="",F63=""),"",WORKDAY(E63,F63,Lists!$L$4:$L$13))</f>
        <v/>
      </c>
      <c r="H63" s="22"/>
      <c r="I63" s="24"/>
      <c r="J63" s="25" t="str">
        <f aca="false">IF(B63="","",IF(I63="","Open","Closed"))</f>
        <v/>
      </c>
      <c r="K63" s="23" t="str">
        <f aca="false">IF(G63="","",IF(I63="",IF(Lists!$E$4&gt;G63,"Overdue","Open - within SLA"),IF(I63&lt;=G63,"Met","Breached")))</f>
        <v/>
      </c>
      <c r="L63" s="25" t="str">
        <f aca="false">IF(E63="","",MAX(0,NETWORKDAYS(E63,IF(I63="",Lists!$E$4,I63),Lists!$L$4:$L$13)-1))</f>
        <v/>
      </c>
      <c r="M63" s="22"/>
      <c r="N63" s="22"/>
    </row>
    <row r="64" customFormat="false" ht="15" hidden="false" customHeight="false" outlineLevel="0" collapsed="false">
      <c r="A64" s="22"/>
      <c r="B64" s="22"/>
      <c r="C64" s="22"/>
      <c r="D64" s="23" t="str">
        <f aca="false">IF(C64="","",IFERROR(INDEX(Employees!$B$5:$B$200,MATCH(C64,Employees!$A$5:$A$200,0)),"ID not found"))</f>
        <v/>
      </c>
      <c r="E64" s="24"/>
      <c r="F64" s="25" t="str">
        <f aca="false">IF(B64="","",IFERROR(INDEX(Lists!$B$4:$B$10,MATCH(B64,Lists!$A$4:$A$10,0)),""))</f>
        <v/>
      </c>
      <c r="G64" s="26" t="str">
        <f aca="false">IF(OR(E64="",F64=""),"",WORKDAY(E64,F64,Lists!$L$4:$L$13))</f>
        <v/>
      </c>
      <c r="H64" s="22"/>
      <c r="I64" s="24"/>
      <c r="J64" s="25" t="str">
        <f aca="false">IF(B64="","",IF(I64="","Open","Closed"))</f>
        <v/>
      </c>
      <c r="K64" s="23" t="str">
        <f aca="false">IF(G64="","",IF(I64="",IF(Lists!$E$4&gt;G64,"Overdue","Open - within SLA"),IF(I64&lt;=G64,"Met","Breached")))</f>
        <v/>
      </c>
      <c r="L64" s="25" t="str">
        <f aca="false">IF(E64="","",MAX(0,NETWORKDAYS(E64,IF(I64="",Lists!$E$4,I64),Lists!$L$4:$L$13)-1))</f>
        <v/>
      </c>
      <c r="M64" s="22"/>
      <c r="N64" s="22"/>
    </row>
    <row r="65" customFormat="false" ht="15" hidden="false" customHeight="false" outlineLevel="0" collapsed="false">
      <c r="A65" s="22"/>
      <c r="B65" s="22"/>
      <c r="C65" s="22"/>
      <c r="D65" s="23" t="str">
        <f aca="false">IF(C65="","",IFERROR(INDEX(Employees!$B$5:$B$200,MATCH(C65,Employees!$A$5:$A$200,0)),"ID not found"))</f>
        <v/>
      </c>
      <c r="E65" s="24"/>
      <c r="F65" s="25" t="str">
        <f aca="false">IF(B65="","",IFERROR(INDEX(Lists!$B$4:$B$10,MATCH(B65,Lists!$A$4:$A$10,0)),""))</f>
        <v/>
      </c>
      <c r="G65" s="26" t="str">
        <f aca="false">IF(OR(E65="",F65=""),"",WORKDAY(E65,F65,Lists!$L$4:$L$13))</f>
        <v/>
      </c>
      <c r="H65" s="22"/>
      <c r="I65" s="24"/>
      <c r="J65" s="25" t="str">
        <f aca="false">IF(B65="","",IF(I65="","Open","Closed"))</f>
        <v/>
      </c>
      <c r="K65" s="23" t="str">
        <f aca="false">IF(G65="","",IF(I65="",IF(Lists!$E$4&gt;G65,"Overdue","Open - within SLA"),IF(I65&lt;=G65,"Met","Breached")))</f>
        <v/>
      </c>
      <c r="L65" s="25" t="str">
        <f aca="false">IF(E65="","",MAX(0,NETWORKDAYS(E65,IF(I65="",Lists!$E$4,I65),Lists!$L$4:$L$13)-1))</f>
        <v/>
      </c>
      <c r="M65" s="22"/>
      <c r="N65" s="22"/>
    </row>
    <row r="66" customFormat="false" ht="15" hidden="false" customHeight="false" outlineLevel="0" collapsed="false">
      <c r="A66" s="22"/>
      <c r="B66" s="22"/>
      <c r="C66" s="22"/>
      <c r="D66" s="23" t="str">
        <f aca="false">IF(C66="","",IFERROR(INDEX(Employees!$B$5:$B$200,MATCH(C66,Employees!$A$5:$A$200,0)),"ID not found"))</f>
        <v/>
      </c>
      <c r="E66" s="24"/>
      <c r="F66" s="25" t="str">
        <f aca="false">IF(B66="","",IFERROR(INDEX(Lists!$B$4:$B$10,MATCH(B66,Lists!$A$4:$A$10,0)),""))</f>
        <v/>
      </c>
      <c r="G66" s="26" t="str">
        <f aca="false">IF(OR(E66="",F66=""),"",WORKDAY(E66,F66,Lists!$L$4:$L$13))</f>
        <v/>
      </c>
      <c r="H66" s="22"/>
      <c r="I66" s="24"/>
      <c r="J66" s="25" t="str">
        <f aca="false">IF(B66="","",IF(I66="","Open","Closed"))</f>
        <v/>
      </c>
      <c r="K66" s="23" t="str">
        <f aca="false">IF(G66="","",IF(I66="",IF(Lists!$E$4&gt;G66,"Overdue","Open - within SLA"),IF(I66&lt;=G66,"Met","Breached")))</f>
        <v/>
      </c>
      <c r="L66" s="25" t="str">
        <f aca="false">IF(E66="","",MAX(0,NETWORKDAYS(E66,IF(I66="",Lists!$E$4,I66),Lists!$L$4:$L$13)-1))</f>
        <v/>
      </c>
      <c r="M66" s="22"/>
      <c r="N66" s="22"/>
    </row>
    <row r="67" customFormat="false" ht="15" hidden="false" customHeight="false" outlineLevel="0" collapsed="false">
      <c r="A67" s="22"/>
      <c r="B67" s="22"/>
      <c r="C67" s="22"/>
      <c r="D67" s="23" t="str">
        <f aca="false">IF(C67="","",IFERROR(INDEX(Employees!$B$5:$B$200,MATCH(C67,Employees!$A$5:$A$200,0)),"ID not found"))</f>
        <v/>
      </c>
      <c r="E67" s="24"/>
      <c r="F67" s="25" t="str">
        <f aca="false">IF(B67="","",IFERROR(INDEX(Lists!$B$4:$B$10,MATCH(B67,Lists!$A$4:$A$10,0)),""))</f>
        <v/>
      </c>
      <c r="G67" s="26" t="str">
        <f aca="false">IF(OR(E67="",F67=""),"",WORKDAY(E67,F67,Lists!$L$4:$L$13))</f>
        <v/>
      </c>
      <c r="H67" s="22"/>
      <c r="I67" s="24"/>
      <c r="J67" s="25" t="str">
        <f aca="false">IF(B67="","",IF(I67="","Open","Closed"))</f>
        <v/>
      </c>
      <c r="K67" s="23" t="str">
        <f aca="false">IF(G67="","",IF(I67="",IF(Lists!$E$4&gt;G67,"Overdue","Open - within SLA"),IF(I67&lt;=G67,"Met","Breached")))</f>
        <v/>
      </c>
      <c r="L67" s="25" t="str">
        <f aca="false">IF(E67="","",MAX(0,NETWORKDAYS(E67,IF(I67="",Lists!$E$4,I67),Lists!$L$4:$L$13)-1))</f>
        <v/>
      </c>
      <c r="M67" s="22"/>
      <c r="N67" s="22"/>
    </row>
    <row r="68" customFormat="false" ht="15" hidden="false" customHeight="false" outlineLevel="0" collapsed="false">
      <c r="A68" s="22"/>
      <c r="B68" s="22"/>
      <c r="C68" s="22"/>
      <c r="D68" s="23" t="str">
        <f aca="false">IF(C68="","",IFERROR(INDEX(Employees!$B$5:$B$200,MATCH(C68,Employees!$A$5:$A$200,0)),"ID not found"))</f>
        <v/>
      </c>
      <c r="E68" s="24"/>
      <c r="F68" s="25" t="str">
        <f aca="false">IF(B68="","",IFERROR(INDEX(Lists!$B$4:$B$10,MATCH(B68,Lists!$A$4:$A$10,0)),""))</f>
        <v/>
      </c>
      <c r="G68" s="26" t="str">
        <f aca="false">IF(OR(E68="",F68=""),"",WORKDAY(E68,F68,Lists!$L$4:$L$13))</f>
        <v/>
      </c>
      <c r="H68" s="22"/>
      <c r="I68" s="24"/>
      <c r="J68" s="25" t="str">
        <f aca="false">IF(B68="","",IF(I68="","Open","Closed"))</f>
        <v/>
      </c>
      <c r="K68" s="23" t="str">
        <f aca="false">IF(G68="","",IF(I68="",IF(Lists!$E$4&gt;G68,"Overdue","Open - within SLA"),IF(I68&lt;=G68,"Met","Breached")))</f>
        <v/>
      </c>
      <c r="L68" s="25" t="str">
        <f aca="false">IF(E68="","",MAX(0,NETWORKDAYS(E68,IF(I68="",Lists!$E$4,I68),Lists!$L$4:$L$13)-1))</f>
        <v/>
      </c>
      <c r="M68" s="22"/>
      <c r="N68" s="22"/>
    </row>
    <row r="69" customFormat="false" ht="15" hidden="false" customHeight="false" outlineLevel="0" collapsed="false">
      <c r="A69" s="22"/>
      <c r="B69" s="22"/>
      <c r="C69" s="22"/>
      <c r="D69" s="23" t="str">
        <f aca="false">IF(C69="","",IFERROR(INDEX(Employees!$B$5:$B$200,MATCH(C69,Employees!$A$5:$A$200,0)),"ID not found"))</f>
        <v/>
      </c>
      <c r="E69" s="24"/>
      <c r="F69" s="25" t="str">
        <f aca="false">IF(B69="","",IFERROR(INDEX(Lists!$B$4:$B$10,MATCH(B69,Lists!$A$4:$A$10,0)),""))</f>
        <v/>
      </c>
      <c r="G69" s="26" t="str">
        <f aca="false">IF(OR(E69="",F69=""),"",WORKDAY(E69,F69,Lists!$L$4:$L$13))</f>
        <v/>
      </c>
      <c r="H69" s="22"/>
      <c r="I69" s="24"/>
      <c r="J69" s="25" t="str">
        <f aca="false">IF(B69="","",IF(I69="","Open","Closed"))</f>
        <v/>
      </c>
      <c r="K69" s="23" t="str">
        <f aca="false">IF(G69="","",IF(I69="",IF(Lists!$E$4&gt;G69,"Overdue","Open - within SLA"),IF(I69&lt;=G69,"Met","Breached")))</f>
        <v/>
      </c>
      <c r="L69" s="25" t="str">
        <f aca="false">IF(E69="","",MAX(0,NETWORKDAYS(E69,IF(I69="",Lists!$E$4,I69),Lists!$L$4:$L$13)-1))</f>
        <v/>
      </c>
      <c r="M69" s="22"/>
      <c r="N69" s="22"/>
    </row>
    <row r="70" customFormat="false" ht="15" hidden="false" customHeight="false" outlineLevel="0" collapsed="false">
      <c r="A70" s="22"/>
      <c r="B70" s="22"/>
      <c r="C70" s="22"/>
      <c r="D70" s="23" t="str">
        <f aca="false">IF(C70="","",IFERROR(INDEX(Employees!$B$5:$B$200,MATCH(C70,Employees!$A$5:$A$200,0)),"ID not found"))</f>
        <v/>
      </c>
      <c r="E70" s="24"/>
      <c r="F70" s="25" t="str">
        <f aca="false">IF(B70="","",IFERROR(INDEX(Lists!$B$4:$B$10,MATCH(B70,Lists!$A$4:$A$10,0)),""))</f>
        <v/>
      </c>
      <c r="G70" s="26" t="str">
        <f aca="false">IF(OR(E70="",F70=""),"",WORKDAY(E70,F70,Lists!$L$4:$L$13))</f>
        <v/>
      </c>
      <c r="H70" s="22"/>
      <c r="I70" s="24"/>
      <c r="J70" s="25" t="str">
        <f aca="false">IF(B70="","",IF(I70="","Open","Closed"))</f>
        <v/>
      </c>
      <c r="K70" s="23" t="str">
        <f aca="false">IF(G70="","",IF(I70="",IF(Lists!$E$4&gt;G70,"Overdue","Open - within SLA"),IF(I70&lt;=G70,"Met","Breached")))</f>
        <v/>
      </c>
      <c r="L70" s="25" t="str">
        <f aca="false">IF(E70="","",MAX(0,NETWORKDAYS(E70,IF(I70="",Lists!$E$4,I70),Lists!$L$4:$L$13)-1))</f>
        <v/>
      </c>
      <c r="M70" s="22"/>
      <c r="N70" s="22"/>
    </row>
    <row r="71" customFormat="false" ht="15" hidden="false" customHeight="false" outlineLevel="0" collapsed="false">
      <c r="A71" s="22"/>
      <c r="B71" s="22"/>
      <c r="C71" s="22"/>
      <c r="D71" s="23" t="str">
        <f aca="false">IF(C71="","",IFERROR(INDEX(Employees!$B$5:$B$200,MATCH(C71,Employees!$A$5:$A$200,0)),"ID not found"))</f>
        <v/>
      </c>
      <c r="E71" s="24"/>
      <c r="F71" s="25" t="str">
        <f aca="false">IF(B71="","",IFERROR(INDEX(Lists!$B$4:$B$10,MATCH(B71,Lists!$A$4:$A$10,0)),""))</f>
        <v/>
      </c>
      <c r="G71" s="26" t="str">
        <f aca="false">IF(OR(E71="",F71=""),"",WORKDAY(E71,F71,Lists!$L$4:$L$13))</f>
        <v/>
      </c>
      <c r="H71" s="22"/>
      <c r="I71" s="24"/>
      <c r="J71" s="25" t="str">
        <f aca="false">IF(B71="","",IF(I71="","Open","Closed"))</f>
        <v/>
      </c>
      <c r="K71" s="23" t="str">
        <f aca="false">IF(G71="","",IF(I71="",IF(Lists!$E$4&gt;G71,"Overdue","Open - within SLA"),IF(I71&lt;=G71,"Met","Breached")))</f>
        <v/>
      </c>
      <c r="L71" s="25" t="str">
        <f aca="false">IF(E71="","",MAX(0,NETWORKDAYS(E71,IF(I71="",Lists!$E$4,I71),Lists!$L$4:$L$13)-1))</f>
        <v/>
      </c>
      <c r="M71" s="22"/>
      <c r="N71" s="22"/>
    </row>
    <row r="72" customFormat="false" ht="15" hidden="false" customHeight="false" outlineLevel="0" collapsed="false">
      <c r="A72" s="22"/>
      <c r="B72" s="22"/>
      <c r="C72" s="22"/>
      <c r="D72" s="23" t="str">
        <f aca="false">IF(C72="","",IFERROR(INDEX(Employees!$B$5:$B$200,MATCH(C72,Employees!$A$5:$A$200,0)),"ID not found"))</f>
        <v/>
      </c>
      <c r="E72" s="24"/>
      <c r="F72" s="25" t="str">
        <f aca="false">IF(B72="","",IFERROR(INDEX(Lists!$B$4:$B$10,MATCH(B72,Lists!$A$4:$A$10,0)),""))</f>
        <v/>
      </c>
      <c r="G72" s="26" t="str">
        <f aca="false">IF(OR(E72="",F72=""),"",WORKDAY(E72,F72,Lists!$L$4:$L$13))</f>
        <v/>
      </c>
      <c r="H72" s="22"/>
      <c r="I72" s="24"/>
      <c r="J72" s="25" t="str">
        <f aca="false">IF(B72="","",IF(I72="","Open","Closed"))</f>
        <v/>
      </c>
      <c r="K72" s="23" t="str">
        <f aca="false">IF(G72="","",IF(I72="",IF(Lists!$E$4&gt;G72,"Overdue","Open - within SLA"),IF(I72&lt;=G72,"Met","Breached")))</f>
        <v/>
      </c>
      <c r="L72" s="25" t="str">
        <f aca="false">IF(E72="","",MAX(0,NETWORKDAYS(E72,IF(I72="",Lists!$E$4,I72),Lists!$L$4:$L$13)-1))</f>
        <v/>
      </c>
      <c r="M72" s="22"/>
      <c r="N72" s="22"/>
    </row>
    <row r="73" customFormat="false" ht="15" hidden="false" customHeight="false" outlineLevel="0" collapsed="false">
      <c r="A73" s="22"/>
      <c r="B73" s="22"/>
      <c r="C73" s="22"/>
      <c r="D73" s="23" t="str">
        <f aca="false">IF(C73="","",IFERROR(INDEX(Employees!$B$5:$B$200,MATCH(C73,Employees!$A$5:$A$200,0)),"ID not found"))</f>
        <v/>
      </c>
      <c r="E73" s="24"/>
      <c r="F73" s="25" t="str">
        <f aca="false">IF(B73="","",IFERROR(INDEX(Lists!$B$4:$B$10,MATCH(B73,Lists!$A$4:$A$10,0)),""))</f>
        <v/>
      </c>
      <c r="G73" s="26" t="str">
        <f aca="false">IF(OR(E73="",F73=""),"",WORKDAY(E73,F73,Lists!$L$4:$L$13))</f>
        <v/>
      </c>
      <c r="H73" s="22"/>
      <c r="I73" s="24"/>
      <c r="J73" s="25" t="str">
        <f aca="false">IF(B73="","",IF(I73="","Open","Closed"))</f>
        <v/>
      </c>
      <c r="K73" s="23" t="str">
        <f aca="false">IF(G73="","",IF(I73="",IF(Lists!$E$4&gt;G73,"Overdue","Open - within SLA"),IF(I73&lt;=G73,"Met","Breached")))</f>
        <v/>
      </c>
      <c r="L73" s="25" t="str">
        <f aca="false">IF(E73="","",MAX(0,NETWORKDAYS(E73,IF(I73="",Lists!$E$4,I73),Lists!$L$4:$L$13)-1))</f>
        <v/>
      </c>
      <c r="M73" s="22"/>
      <c r="N73" s="22"/>
    </row>
    <row r="74" customFormat="false" ht="15" hidden="false" customHeight="false" outlineLevel="0" collapsed="false">
      <c r="A74" s="22"/>
      <c r="B74" s="22"/>
      <c r="C74" s="22"/>
      <c r="D74" s="23" t="str">
        <f aca="false">IF(C74="","",IFERROR(INDEX(Employees!$B$5:$B$200,MATCH(C74,Employees!$A$5:$A$200,0)),"ID not found"))</f>
        <v/>
      </c>
      <c r="E74" s="24"/>
      <c r="F74" s="25" t="str">
        <f aca="false">IF(B74="","",IFERROR(INDEX(Lists!$B$4:$B$10,MATCH(B74,Lists!$A$4:$A$10,0)),""))</f>
        <v/>
      </c>
      <c r="G74" s="26" t="str">
        <f aca="false">IF(OR(E74="",F74=""),"",WORKDAY(E74,F74,Lists!$L$4:$L$13))</f>
        <v/>
      </c>
      <c r="H74" s="22"/>
      <c r="I74" s="24"/>
      <c r="J74" s="25" t="str">
        <f aca="false">IF(B74="","",IF(I74="","Open","Closed"))</f>
        <v/>
      </c>
      <c r="K74" s="23" t="str">
        <f aca="false">IF(G74="","",IF(I74="",IF(Lists!$E$4&gt;G74,"Overdue","Open - within SLA"),IF(I74&lt;=G74,"Met","Breached")))</f>
        <v/>
      </c>
      <c r="L74" s="25" t="str">
        <f aca="false">IF(E74="","",MAX(0,NETWORKDAYS(E74,IF(I74="",Lists!$E$4,I74),Lists!$L$4:$L$13)-1))</f>
        <v/>
      </c>
      <c r="M74" s="22"/>
      <c r="N74" s="22"/>
    </row>
    <row r="75" customFormat="false" ht="15" hidden="false" customHeight="false" outlineLevel="0" collapsed="false">
      <c r="A75" s="22"/>
      <c r="B75" s="22"/>
      <c r="C75" s="22"/>
      <c r="D75" s="23" t="str">
        <f aca="false">IF(C75="","",IFERROR(INDEX(Employees!$B$5:$B$200,MATCH(C75,Employees!$A$5:$A$200,0)),"ID not found"))</f>
        <v/>
      </c>
      <c r="E75" s="24"/>
      <c r="F75" s="25" t="str">
        <f aca="false">IF(B75="","",IFERROR(INDEX(Lists!$B$4:$B$10,MATCH(B75,Lists!$A$4:$A$10,0)),""))</f>
        <v/>
      </c>
      <c r="G75" s="26" t="str">
        <f aca="false">IF(OR(E75="",F75=""),"",WORKDAY(E75,F75,Lists!$L$4:$L$13))</f>
        <v/>
      </c>
      <c r="H75" s="22"/>
      <c r="I75" s="24"/>
      <c r="J75" s="25" t="str">
        <f aca="false">IF(B75="","",IF(I75="","Open","Closed"))</f>
        <v/>
      </c>
      <c r="K75" s="23" t="str">
        <f aca="false">IF(G75="","",IF(I75="",IF(Lists!$E$4&gt;G75,"Overdue","Open - within SLA"),IF(I75&lt;=G75,"Met","Breached")))</f>
        <v/>
      </c>
      <c r="L75" s="25" t="str">
        <f aca="false">IF(E75="","",MAX(0,NETWORKDAYS(E75,IF(I75="",Lists!$E$4,I75),Lists!$L$4:$L$13)-1))</f>
        <v/>
      </c>
      <c r="M75" s="22"/>
      <c r="N75" s="22"/>
    </row>
    <row r="76" customFormat="false" ht="15" hidden="false" customHeight="false" outlineLevel="0" collapsed="false">
      <c r="A76" s="22"/>
      <c r="B76" s="22"/>
      <c r="C76" s="22"/>
      <c r="D76" s="23" t="str">
        <f aca="false">IF(C76="","",IFERROR(INDEX(Employees!$B$5:$B$200,MATCH(C76,Employees!$A$5:$A$200,0)),"ID not found"))</f>
        <v/>
      </c>
      <c r="E76" s="24"/>
      <c r="F76" s="25" t="str">
        <f aca="false">IF(B76="","",IFERROR(INDEX(Lists!$B$4:$B$10,MATCH(B76,Lists!$A$4:$A$10,0)),""))</f>
        <v/>
      </c>
      <c r="G76" s="26" t="str">
        <f aca="false">IF(OR(E76="",F76=""),"",WORKDAY(E76,F76,Lists!$L$4:$L$13))</f>
        <v/>
      </c>
      <c r="H76" s="22"/>
      <c r="I76" s="24"/>
      <c r="J76" s="25" t="str">
        <f aca="false">IF(B76="","",IF(I76="","Open","Closed"))</f>
        <v/>
      </c>
      <c r="K76" s="23" t="str">
        <f aca="false">IF(G76="","",IF(I76="",IF(Lists!$E$4&gt;G76,"Overdue","Open - within SLA"),IF(I76&lt;=G76,"Met","Breached")))</f>
        <v/>
      </c>
      <c r="L76" s="25" t="str">
        <f aca="false">IF(E76="","",MAX(0,NETWORKDAYS(E76,IF(I76="",Lists!$E$4,I76),Lists!$L$4:$L$13)-1))</f>
        <v/>
      </c>
      <c r="M76" s="22"/>
      <c r="N76" s="22"/>
    </row>
    <row r="77" customFormat="false" ht="15" hidden="false" customHeight="false" outlineLevel="0" collapsed="false">
      <c r="A77" s="22"/>
      <c r="B77" s="22"/>
      <c r="C77" s="22"/>
      <c r="D77" s="23" t="str">
        <f aca="false">IF(C77="","",IFERROR(INDEX(Employees!$B$5:$B$200,MATCH(C77,Employees!$A$5:$A$200,0)),"ID not found"))</f>
        <v/>
      </c>
      <c r="E77" s="24"/>
      <c r="F77" s="25" t="str">
        <f aca="false">IF(B77="","",IFERROR(INDEX(Lists!$B$4:$B$10,MATCH(B77,Lists!$A$4:$A$10,0)),""))</f>
        <v/>
      </c>
      <c r="G77" s="26" t="str">
        <f aca="false">IF(OR(E77="",F77=""),"",WORKDAY(E77,F77,Lists!$L$4:$L$13))</f>
        <v/>
      </c>
      <c r="H77" s="22"/>
      <c r="I77" s="24"/>
      <c r="J77" s="25" t="str">
        <f aca="false">IF(B77="","",IF(I77="","Open","Closed"))</f>
        <v/>
      </c>
      <c r="K77" s="23" t="str">
        <f aca="false">IF(G77="","",IF(I77="",IF(Lists!$E$4&gt;G77,"Overdue","Open - within SLA"),IF(I77&lt;=G77,"Met","Breached")))</f>
        <v/>
      </c>
      <c r="L77" s="25" t="str">
        <f aca="false">IF(E77="","",MAX(0,NETWORKDAYS(E77,IF(I77="",Lists!$E$4,I77),Lists!$L$4:$L$13)-1))</f>
        <v/>
      </c>
      <c r="M77" s="22"/>
      <c r="N77" s="22"/>
    </row>
    <row r="78" customFormat="false" ht="15" hidden="false" customHeight="false" outlineLevel="0" collapsed="false">
      <c r="A78" s="22"/>
      <c r="B78" s="22"/>
      <c r="C78" s="22"/>
      <c r="D78" s="23" t="str">
        <f aca="false">IF(C78="","",IFERROR(INDEX(Employees!$B$5:$B$200,MATCH(C78,Employees!$A$5:$A$200,0)),"ID not found"))</f>
        <v/>
      </c>
      <c r="E78" s="24"/>
      <c r="F78" s="25" t="str">
        <f aca="false">IF(B78="","",IFERROR(INDEX(Lists!$B$4:$B$10,MATCH(B78,Lists!$A$4:$A$10,0)),""))</f>
        <v/>
      </c>
      <c r="G78" s="26" t="str">
        <f aca="false">IF(OR(E78="",F78=""),"",WORKDAY(E78,F78,Lists!$L$4:$L$13))</f>
        <v/>
      </c>
      <c r="H78" s="22"/>
      <c r="I78" s="24"/>
      <c r="J78" s="25" t="str">
        <f aca="false">IF(B78="","",IF(I78="","Open","Closed"))</f>
        <v/>
      </c>
      <c r="K78" s="23" t="str">
        <f aca="false">IF(G78="","",IF(I78="",IF(Lists!$E$4&gt;G78,"Overdue","Open - within SLA"),IF(I78&lt;=G78,"Met","Breached")))</f>
        <v/>
      </c>
      <c r="L78" s="25" t="str">
        <f aca="false">IF(E78="","",MAX(0,NETWORKDAYS(E78,IF(I78="",Lists!$E$4,I78),Lists!$L$4:$L$13)-1))</f>
        <v/>
      </c>
      <c r="M78" s="22"/>
      <c r="N78" s="22"/>
    </row>
    <row r="79" customFormat="false" ht="15" hidden="false" customHeight="false" outlineLevel="0" collapsed="false">
      <c r="A79" s="22"/>
      <c r="B79" s="22"/>
      <c r="C79" s="22"/>
      <c r="D79" s="23" t="str">
        <f aca="false">IF(C79="","",IFERROR(INDEX(Employees!$B$5:$B$200,MATCH(C79,Employees!$A$5:$A$200,0)),"ID not found"))</f>
        <v/>
      </c>
      <c r="E79" s="24"/>
      <c r="F79" s="25" t="str">
        <f aca="false">IF(B79="","",IFERROR(INDEX(Lists!$B$4:$B$10,MATCH(B79,Lists!$A$4:$A$10,0)),""))</f>
        <v/>
      </c>
      <c r="G79" s="26" t="str">
        <f aca="false">IF(OR(E79="",F79=""),"",WORKDAY(E79,F79,Lists!$L$4:$L$13))</f>
        <v/>
      </c>
      <c r="H79" s="22"/>
      <c r="I79" s="24"/>
      <c r="J79" s="25" t="str">
        <f aca="false">IF(B79="","",IF(I79="","Open","Closed"))</f>
        <v/>
      </c>
      <c r="K79" s="23" t="str">
        <f aca="false">IF(G79="","",IF(I79="",IF(Lists!$E$4&gt;G79,"Overdue","Open - within SLA"),IF(I79&lt;=G79,"Met","Breached")))</f>
        <v/>
      </c>
      <c r="L79" s="25" t="str">
        <f aca="false">IF(E79="","",MAX(0,NETWORKDAYS(E79,IF(I79="",Lists!$E$4,I79),Lists!$L$4:$L$13)-1))</f>
        <v/>
      </c>
      <c r="M79" s="22"/>
      <c r="N79" s="22"/>
    </row>
    <row r="80" customFormat="false" ht="15" hidden="false" customHeight="false" outlineLevel="0" collapsed="false">
      <c r="A80" s="22"/>
      <c r="B80" s="22"/>
      <c r="C80" s="22"/>
      <c r="D80" s="23" t="str">
        <f aca="false">IF(C80="","",IFERROR(INDEX(Employees!$B$5:$B$200,MATCH(C80,Employees!$A$5:$A$200,0)),"ID not found"))</f>
        <v/>
      </c>
      <c r="E80" s="24"/>
      <c r="F80" s="25" t="str">
        <f aca="false">IF(B80="","",IFERROR(INDEX(Lists!$B$4:$B$10,MATCH(B80,Lists!$A$4:$A$10,0)),""))</f>
        <v/>
      </c>
      <c r="G80" s="26" t="str">
        <f aca="false">IF(OR(E80="",F80=""),"",WORKDAY(E80,F80,Lists!$L$4:$L$13))</f>
        <v/>
      </c>
      <c r="H80" s="22"/>
      <c r="I80" s="24"/>
      <c r="J80" s="25" t="str">
        <f aca="false">IF(B80="","",IF(I80="","Open","Closed"))</f>
        <v/>
      </c>
      <c r="K80" s="23" t="str">
        <f aca="false">IF(G80="","",IF(I80="",IF(Lists!$E$4&gt;G80,"Overdue","Open - within SLA"),IF(I80&lt;=G80,"Met","Breached")))</f>
        <v/>
      </c>
      <c r="L80" s="25" t="str">
        <f aca="false">IF(E80="","",MAX(0,NETWORKDAYS(E80,IF(I80="",Lists!$E$4,I80),Lists!$L$4:$L$13)-1))</f>
        <v/>
      </c>
      <c r="M80" s="22"/>
      <c r="N80" s="22"/>
    </row>
    <row r="81" customFormat="false" ht="15" hidden="false" customHeight="false" outlineLevel="0" collapsed="false">
      <c r="A81" s="22"/>
      <c r="B81" s="22"/>
      <c r="C81" s="22"/>
      <c r="D81" s="23" t="str">
        <f aca="false">IF(C81="","",IFERROR(INDEX(Employees!$B$5:$B$200,MATCH(C81,Employees!$A$5:$A$200,0)),"ID not found"))</f>
        <v/>
      </c>
      <c r="E81" s="24"/>
      <c r="F81" s="25" t="str">
        <f aca="false">IF(B81="","",IFERROR(INDEX(Lists!$B$4:$B$10,MATCH(B81,Lists!$A$4:$A$10,0)),""))</f>
        <v/>
      </c>
      <c r="G81" s="26" t="str">
        <f aca="false">IF(OR(E81="",F81=""),"",WORKDAY(E81,F81,Lists!$L$4:$L$13))</f>
        <v/>
      </c>
      <c r="H81" s="22"/>
      <c r="I81" s="24"/>
      <c r="J81" s="25" t="str">
        <f aca="false">IF(B81="","",IF(I81="","Open","Closed"))</f>
        <v/>
      </c>
      <c r="K81" s="23" t="str">
        <f aca="false">IF(G81="","",IF(I81="",IF(Lists!$E$4&gt;G81,"Overdue","Open - within SLA"),IF(I81&lt;=G81,"Met","Breached")))</f>
        <v/>
      </c>
      <c r="L81" s="25" t="str">
        <f aca="false">IF(E81="","",MAX(0,NETWORKDAYS(E81,IF(I81="",Lists!$E$4,I81),Lists!$L$4:$L$13)-1))</f>
        <v/>
      </c>
      <c r="M81" s="22"/>
      <c r="N81" s="22"/>
    </row>
    <row r="82" customFormat="false" ht="15" hidden="false" customHeight="false" outlineLevel="0" collapsed="false">
      <c r="A82" s="22"/>
      <c r="B82" s="22"/>
      <c r="C82" s="22"/>
      <c r="D82" s="23" t="str">
        <f aca="false">IF(C82="","",IFERROR(INDEX(Employees!$B$5:$B$200,MATCH(C82,Employees!$A$5:$A$200,0)),"ID not found"))</f>
        <v/>
      </c>
      <c r="E82" s="24"/>
      <c r="F82" s="25" t="str">
        <f aca="false">IF(B82="","",IFERROR(INDEX(Lists!$B$4:$B$10,MATCH(B82,Lists!$A$4:$A$10,0)),""))</f>
        <v/>
      </c>
      <c r="G82" s="26" t="str">
        <f aca="false">IF(OR(E82="",F82=""),"",WORKDAY(E82,F82,Lists!$L$4:$L$13))</f>
        <v/>
      </c>
      <c r="H82" s="22"/>
      <c r="I82" s="24"/>
      <c r="J82" s="25" t="str">
        <f aca="false">IF(B82="","",IF(I82="","Open","Closed"))</f>
        <v/>
      </c>
      <c r="K82" s="23" t="str">
        <f aca="false">IF(G82="","",IF(I82="",IF(Lists!$E$4&gt;G82,"Overdue","Open - within SLA"),IF(I82&lt;=G82,"Met","Breached")))</f>
        <v/>
      </c>
      <c r="L82" s="25" t="str">
        <f aca="false">IF(E82="","",MAX(0,NETWORKDAYS(E82,IF(I82="",Lists!$E$4,I82),Lists!$L$4:$L$13)-1))</f>
        <v/>
      </c>
      <c r="M82" s="22"/>
      <c r="N82" s="22"/>
    </row>
    <row r="83" customFormat="false" ht="15" hidden="false" customHeight="false" outlineLevel="0" collapsed="false">
      <c r="A83" s="22"/>
      <c r="B83" s="22"/>
      <c r="C83" s="22"/>
      <c r="D83" s="23" t="str">
        <f aca="false">IF(C83="","",IFERROR(INDEX(Employees!$B$5:$B$200,MATCH(C83,Employees!$A$5:$A$200,0)),"ID not found"))</f>
        <v/>
      </c>
      <c r="E83" s="24"/>
      <c r="F83" s="25" t="str">
        <f aca="false">IF(B83="","",IFERROR(INDEX(Lists!$B$4:$B$10,MATCH(B83,Lists!$A$4:$A$10,0)),""))</f>
        <v/>
      </c>
      <c r="G83" s="26" t="str">
        <f aca="false">IF(OR(E83="",F83=""),"",WORKDAY(E83,F83,Lists!$L$4:$L$13))</f>
        <v/>
      </c>
      <c r="H83" s="22"/>
      <c r="I83" s="24"/>
      <c r="J83" s="25" t="str">
        <f aca="false">IF(B83="","",IF(I83="","Open","Closed"))</f>
        <v/>
      </c>
      <c r="K83" s="23" t="str">
        <f aca="false">IF(G83="","",IF(I83="",IF(Lists!$E$4&gt;G83,"Overdue","Open - within SLA"),IF(I83&lt;=G83,"Met","Breached")))</f>
        <v/>
      </c>
      <c r="L83" s="25" t="str">
        <f aca="false">IF(E83="","",MAX(0,NETWORKDAYS(E83,IF(I83="",Lists!$E$4,I83),Lists!$L$4:$L$13)-1))</f>
        <v/>
      </c>
      <c r="M83" s="22"/>
      <c r="N83" s="22"/>
    </row>
    <row r="84" customFormat="false" ht="15" hidden="false" customHeight="false" outlineLevel="0" collapsed="false">
      <c r="A84" s="22"/>
      <c r="B84" s="22"/>
      <c r="C84" s="22"/>
      <c r="D84" s="23" t="str">
        <f aca="false">IF(C84="","",IFERROR(INDEX(Employees!$B$5:$B$200,MATCH(C84,Employees!$A$5:$A$200,0)),"ID not found"))</f>
        <v/>
      </c>
      <c r="E84" s="24"/>
      <c r="F84" s="25" t="str">
        <f aca="false">IF(B84="","",IFERROR(INDEX(Lists!$B$4:$B$10,MATCH(B84,Lists!$A$4:$A$10,0)),""))</f>
        <v/>
      </c>
      <c r="G84" s="26" t="str">
        <f aca="false">IF(OR(E84="",F84=""),"",WORKDAY(E84,F84,Lists!$L$4:$L$13))</f>
        <v/>
      </c>
      <c r="H84" s="22"/>
      <c r="I84" s="24"/>
      <c r="J84" s="25" t="str">
        <f aca="false">IF(B84="","",IF(I84="","Open","Closed"))</f>
        <v/>
      </c>
      <c r="K84" s="23" t="str">
        <f aca="false">IF(G84="","",IF(I84="",IF(Lists!$E$4&gt;G84,"Overdue","Open - within SLA"),IF(I84&lt;=G84,"Met","Breached")))</f>
        <v/>
      </c>
      <c r="L84" s="25" t="str">
        <f aca="false">IF(E84="","",MAX(0,NETWORKDAYS(E84,IF(I84="",Lists!$E$4,I84),Lists!$L$4:$L$13)-1))</f>
        <v/>
      </c>
      <c r="M84" s="22"/>
      <c r="N84" s="22"/>
    </row>
    <row r="85" customFormat="false" ht="15" hidden="false" customHeight="false" outlineLevel="0" collapsed="false">
      <c r="A85" s="22"/>
      <c r="B85" s="22"/>
      <c r="C85" s="22"/>
      <c r="D85" s="23" t="str">
        <f aca="false">IF(C85="","",IFERROR(INDEX(Employees!$B$5:$B$200,MATCH(C85,Employees!$A$5:$A$200,0)),"ID not found"))</f>
        <v/>
      </c>
      <c r="E85" s="24"/>
      <c r="F85" s="25" t="str">
        <f aca="false">IF(B85="","",IFERROR(INDEX(Lists!$B$4:$B$10,MATCH(B85,Lists!$A$4:$A$10,0)),""))</f>
        <v/>
      </c>
      <c r="G85" s="26" t="str">
        <f aca="false">IF(OR(E85="",F85=""),"",WORKDAY(E85,F85,Lists!$L$4:$L$13))</f>
        <v/>
      </c>
      <c r="H85" s="22"/>
      <c r="I85" s="24"/>
      <c r="J85" s="25" t="str">
        <f aca="false">IF(B85="","",IF(I85="","Open","Closed"))</f>
        <v/>
      </c>
      <c r="K85" s="23" t="str">
        <f aca="false">IF(G85="","",IF(I85="",IF(Lists!$E$4&gt;G85,"Overdue","Open - within SLA"),IF(I85&lt;=G85,"Met","Breached")))</f>
        <v/>
      </c>
      <c r="L85" s="25" t="str">
        <f aca="false">IF(E85="","",MAX(0,NETWORKDAYS(E85,IF(I85="",Lists!$E$4,I85),Lists!$L$4:$L$13)-1))</f>
        <v/>
      </c>
      <c r="M85" s="22"/>
      <c r="N85" s="22"/>
    </row>
    <row r="86" customFormat="false" ht="15" hidden="false" customHeight="false" outlineLevel="0" collapsed="false">
      <c r="A86" s="22"/>
      <c r="B86" s="22"/>
      <c r="C86" s="22"/>
      <c r="D86" s="23" t="str">
        <f aca="false">IF(C86="","",IFERROR(INDEX(Employees!$B$5:$B$200,MATCH(C86,Employees!$A$5:$A$200,0)),"ID not found"))</f>
        <v/>
      </c>
      <c r="E86" s="24"/>
      <c r="F86" s="25" t="str">
        <f aca="false">IF(B86="","",IFERROR(INDEX(Lists!$B$4:$B$10,MATCH(B86,Lists!$A$4:$A$10,0)),""))</f>
        <v/>
      </c>
      <c r="G86" s="26" t="str">
        <f aca="false">IF(OR(E86="",F86=""),"",WORKDAY(E86,F86,Lists!$L$4:$L$13))</f>
        <v/>
      </c>
      <c r="H86" s="22"/>
      <c r="I86" s="24"/>
      <c r="J86" s="25" t="str">
        <f aca="false">IF(B86="","",IF(I86="","Open","Closed"))</f>
        <v/>
      </c>
      <c r="K86" s="23" t="str">
        <f aca="false">IF(G86="","",IF(I86="",IF(Lists!$E$4&gt;G86,"Overdue","Open - within SLA"),IF(I86&lt;=G86,"Met","Breached")))</f>
        <v/>
      </c>
      <c r="L86" s="25" t="str">
        <f aca="false">IF(E86="","",MAX(0,NETWORKDAYS(E86,IF(I86="",Lists!$E$4,I86),Lists!$L$4:$L$13)-1))</f>
        <v/>
      </c>
      <c r="M86" s="22"/>
      <c r="N86" s="22"/>
    </row>
    <row r="87" customFormat="false" ht="15" hidden="false" customHeight="false" outlineLevel="0" collapsed="false">
      <c r="A87" s="22"/>
      <c r="B87" s="22"/>
      <c r="C87" s="22"/>
      <c r="D87" s="23" t="str">
        <f aca="false">IF(C87="","",IFERROR(INDEX(Employees!$B$5:$B$200,MATCH(C87,Employees!$A$5:$A$200,0)),"ID not found"))</f>
        <v/>
      </c>
      <c r="E87" s="24"/>
      <c r="F87" s="25" t="str">
        <f aca="false">IF(B87="","",IFERROR(INDEX(Lists!$B$4:$B$10,MATCH(B87,Lists!$A$4:$A$10,0)),""))</f>
        <v/>
      </c>
      <c r="G87" s="26" t="str">
        <f aca="false">IF(OR(E87="",F87=""),"",WORKDAY(E87,F87,Lists!$L$4:$L$13))</f>
        <v/>
      </c>
      <c r="H87" s="22"/>
      <c r="I87" s="24"/>
      <c r="J87" s="25" t="str">
        <f aca="false">IF(B87="","",IF(I87="","Open","Closed"))</f>
        <v/>
      </c>
      <c r="K87" s="23" t="str">
        <f aca="false">IF(G87="","",IF(I87="",IF(Lists!$E$4&gt;G87,"Overdue","Open - within SLA"),IF(I87&lt;=G87,"Met","Breached")))</f>
        <v/>
      </c>
      <c r="L87" s="25" t="str">
        <f aca="false">IF(E87="","",MAX(0,NETWORKDAYS(E87,IF(I87="",Lists!$E$4,I87),Lists!$L$4:$L$13)-1))</f>
        <v/>
      </c>
      <c r="M87" s="22"/>
      <c r="N87" s="22"/>
    </row>
    <row r="88" customFormat="false" ht="15" hidden="false" customHeight="false" outlineLevel="0" collapsed="false">
      <c r="A88" s="22"/>
      <c r="B88" s="22"/>
      <c r="C88" s="22"/>
      <c r="D88" s="23" t="str">
        <f aca="false">IF(C88="","",IFERROR(INDEX(Employees!$B$5:$B$200,MATCH(C88,Employees!$A$5:$A$200,0)),"ID not found"))</f>
        <v/>
      </c>
      <c r="E88" s="24"/>
      <c r="F88" s="25" t="str">
        <f aca="false">IF(B88="","",IFERROR(INDEX(Lists!$B$4:$B$10,MATCH(B88,Lists!$A$4:$A$10,0)),""))</f>
        <v/>
      </c>
      <c r="G88" s="26" t="str">
        <f aca="false">IF(OR(E88="",F88=""),"",WORKDAY(E88,F88,Lists!$L$4:$L$13))</f>
        <v/>
      </c>
      <c r="H88" s="22"/>
      <c r="I88" s="24"/>
      <c r="J88" s="25" t="str">
        <f aca="false">IF(B88="","",IF(I88="","Open","Closed"))</f>
        <v/>
      </c>
      <c r="K88" s="23" t="str">
        <f aca="false">IF(G88="","",IF(I88="",IF(Lists!$E$4&gt;G88,"Overdue","Open - within SLA"),IF(I88&lt;=G88,"Met","Breached")))</f>
        <v/>
      </c>
      <c r="L88" s="25" t="str">
        <f aca="false">IF(E88="","",MAX(0,NETWORKDAYS(E88,IF(I88="",Lists!$E$4,I88),Lists!$L$4:$L$13)-1))</f>
        <v/>
      </c>
      <c r="M88" s="22"/>
      <c r="N88" s="22"/>
    </row>
    <row r="89" customFormat="false" ht="15" hidden="false" customHeight="false" outlineLevel="0" collapsed="false">
      <c r="A89" s="22"/>
      <c r="B89" s="22"/>
      <c r="C89" s="22"/>
      <c r="D89" s="23" t="str">
        <f aca="false">IF(C89="","",IFERROR(INDEX(Employees!$B$5:$B$200,MATCH(C89,Employees!$A$5:$A$200,0)),"ID not found"))</f>
        <v/>
      </c>
      <c r="E89" s="24"/>
      <c r="F89" s="25" t="str">
        <f aca="false">IF(B89="","",IFERROR(INDEX(Lists!$B$4:$B$10,MATCH(B89,Lists!$A$4:$A$10,0)),""))</f>
        <v/>
      </c>
      <c r="G89" s="26" t="str">
        <f aca="false">IF(OR(E89="",F89=""),"",WORKDAY(E89,F89,Lists!$L$4:$L$13))</f>
        <v/>
      </c>
      <c r="H89" s="22"/>
      <c r="I89" s="24"/>
      <c r="J89" s="25" t="str">
        <f aca="false">IF(B89="","",IF(I89="","Open","Closed"))</f>
        <v/>
      </c>
      <c r="K89" s="23" t="str">
        <f aca="false">IF(G89="","",IF(I89="",IF(Lists!$E$4&gt;G89,"Overdue","Open - within SLA"),IF(I89&lt;=G89,"Met","Breached")))</f>
        <v/>
      </c>
      <c r="L89" s="25" t="str">
        <f aca="false">IF(E89="","",MAX(0,NETWORKDAYS(E89,IF(I89="",Lists!$E$4,I89),Lists!$L$4:$L$13)-1))</f>
        <v/>
      </c>
      <c r="M89" s="22"/>
      <c r="N89" s="22"/>
    </row>
    <row r="90" customFormat="false" ht="15" hidden="false" customHeight="false" outlineLevel="0" collapsed="false">
      <c r="A90" s="22"/>
      <c r="B90" s="22"/>
      <c r="C90" s="22"/>
      <c r="D90" s="23" t="str">
        <f aca="false">IF(C90="","",IFERROR(INDEX(Employees!$B$5:$B$200,MATCH(C90,Employees!$A$5:$A$200,0)),"ID not found"))</f>
        <v/>
      </c>
      <c r="E90" s="24"/>
      <c r="F90" s="25" t="str">
        <f aca="false">IF(B90="","",IFERROR(INDEX(Lists!$B$4:$B$10,MATCH(B90,Lists!$A$4:$A$10,0)),""))</f>
        <v/>
      </c>
      <c r="G90" s="26" t="str">
        <f aca="false">IF(OR(E90="",F90=""),"",WORKDAY(E90,F90,Lists!$L$4:$L$13))</f>
        <v/>
      </c>
      <c r="H90" s="22"/>
      <c r="I90" s="24"/>
      <c r="J90" s="25" t="str">
        <f aca="false">IF(B90="","",IF(I90="","Open","Closed"))</f>
        <v/>
      </c>
      <c r="K90" s="23" t="str">
        <f aca="false">IF(G90="","",IF(I90="",IF(Lists!$E$4&gt;G90,"Overdue","Open - within SLA"),IF(I90&lt;=G90,"Met","Breached")))</f>
        <v/>
      </c>
      <c r="L90" s="25" t="str">
        <f aca="false">IF(E90="","",MAX(0,NETWORKDAYS(E90,IF(I90="",Lists!$E$4,I90),Lists!$L$4:$L$13)-1))</f>
        <v/>
      </c>
      <c r="M90" s="22"/>
      <c r="N90" s="22"/>
    </row>
    <row r="91" customFormat="false" ht="15" hidden="false" customHeight="false" outlineLevel="0" collapsed="false">
      <c r="A91" s="22"/>
      <c r="B91" s="22"/>
      <c r="C91" s="22"/>
      <c r="D91" s="23" t="str">
        <f aca="false">IF(C91="","",IFERROR(INDEX(Employees!$B$5:$B$200,MATCH(C91,Employees!$A$5:$A$200,0)),"ID not found"))</f>
        <v/>
      </c>
      <c r="E91" s="24"/>
      <c r="F91" s="25" t="str">
        <f aca="false">IF(B91="","",IFERROR(INDEX(Lists!$B$4:$B$10,MATCH(B91,Lists!$A$4:$A$10,0)),""))</f>
        <v/>
      </c>
      <c r="G91" s="26" t="str">
        <f aca="false">IF(OR(E91="",F91=""),"",WORKDAY(E91,F91,Lists!$L$4:$L$13))</f>
        <v/>
      </c>
      <c r="H91" s="22"/>
      <c r="I91" s="24"/>
      <c r="J91" s="25" t="str">
        <f aca="false">IF(B91="","",IF(I91="","Open","Closed"))</f>
        <v/>
      </c>
      <c r="K91" s="23" t="str">
        <f aca="false">IF(G91="","",IF(I91="",IF(Lists!$E$4&gt;G91,"Overdue","Open - within SLA"),IF(I91&lt;=G91,"Met","Breached")))</f>
        <v/>
      </c>
      <c r="L91" s="25" t="str">
        <f aca="false">IF(E91="","",MAX(0,NETWORKDAYS(E91,IF(I91="",Lists!$E$4,I91),Lists!$L$4:$L$13)-1))</f>
        <v/>
      </c>
      <c r="M91" s="22"/>
      <c r="N91" s="22"/>
    </row>
    <row r="92" customFormat="false" ht="15" hidden="false" customHeight="false" outlineLevel="0" collapsed="false">
      <c r="A92" s="22"/>
      <c r="B92" s="22"/>
      <c r="C92" s="22"/>
      <c r="D92" s="23" t="str">
        <f aca="false">IF(C92="","",IFERROR(INDEX(Employees!$B$5:$B$200,MATCH(C92,Employees!$A$5:$A$200,0)),"ID not found"))</f>
        <v/>
      </c>
      <c r="E92" s="24"/>
      <c r="F92" s="25" t="str">
        <f aca="false">IF(B92="","",IFERROR(INDEX(Lists!$B$4:$B$10,MATCH(B92,Lists!$A$4:$A$10,0)),""))</f>
        <v/>
      </c>
      <c r="G92" s="26" t="str">
        <f aca="false">IF(OR(E92="",F92=""),"",WORKDAY(E92,F92,Lists!$L$4:$L$13))</f>
        <v/>
      </c>
      <c r="H92" s="22"/>
      <c r="I92" s="24"/>
      <c r="J92" s="25" t="str">
        <f aca="false">IF(B92="","",IF(I92="","Open","Closed"))</f>
        <v/>
      </c>
      <c r="K92" s="23" t="str">
        <f aca="false">IF(G92="","",IF(I92="",IF(Lists!$E$4&gt;G92,"Overdue","Open - within SLA"),IF(I92&lt;=G92,"Met","Breached")))</f>
        <v/>
      </c>
      <c r="L92" s="25" t="str">
        <f aca="false">IF(E92="","",MAX(0,NETWORKDAYS(E92,IF(I92="",Lists!$E$4,I92),Lists!$L$4:$L$13)-1))</f>
        <v/>
      </c>
      <c r="M92" s="22"/>
      <c r="N92" s="22"/>
    </row>
    <row r="93" customFormat="false" ht="15" hidden="false" customHeight="false" outlineLevel="0" collapsed="false">
      <c r="A93" s="22"/>
      <c r="B93" s="22"/>
      <c r="C93" s="22"/>
      <c r="D93" s="23" t="str">
        <f aca="false">IF(C93="","",IFERROR(INDEX(Employees!$B$5:$B$200,MATCH(C93,Employees!$A$5:$A$200,0)),"ID not found"))</f>
        <v/>
      </c>
      <c r="E93" s="24"/>
      <c r="F93" s="25" t="str">
        <f aca="false">IF(B93="","",IFERROR(INDEX(Lists!$B$4:$B$10,MATCH(B93,Lists!$A$4:$A$10,0)),""))</f>
        <v/>
      </c>
      <c r="G93" s="26" t="str">
        <f aca="false">IF(OR(E93="",F93=""),"",WORKDAY(E93,F93,Lists!$L$4:$L$13))</f>
        <v/>
      </c>
      <c r="H93" s="22"/>
      <c r="I93" s="24"/>
      <c r="J93" s="25" t="str">
        <f aca="false">IF(B93="","",IF(I93="","Open","Closed"))</f>
        <v/>
      </c>
      <c r="K93" s="23" t="str">
        <f aca="false">IF(G93="","",IF(I93="",IF(Lists!$E$4&gt;G93,"Overdue","Open - within SLA"),IF(I93&lt;=G93,"Met","Breached")))</f>
        <v/>
      </c>
      <c r="L93" s="25" t="str">
        <f aca="false">IF(E93="","",MAX(0,NETWORKDAYS(E93,IF(I93="",Lists!$E$4,I93),Lists!$L$4:$L$13)-1))</f>
        <v/>
      </c>
      <c r="M93" s="22"/>
      <c r="N93" s="22"/>
    </row>
    <row r="94" customFormat="false" ht="15" hidden="false" customHeight="false" outlineLevel="0" collapsed="false">
      <c r="A94" s="22"/>
      <c r="B94" s="22"/>
      <c r="C94" s="22"/>
      <c r="D94" s="23" t="str">
        <f aca="false">IF(C94="","",IFERROR(INDEX(Employees!$B$5:$B$200,MATCH(C94,Employees!$A$5:$A$200,0)),"ID not found"))</f>
        <v/>
      </c>
      <c r="E94" s="24"/>
      <c r="F94" s="25" t="str">
        <f aca="false">IF(B94="","",IFERROR(INDEX(Lists!$B$4:$B$10,MATCH(B94,Lists!$A$4:$A$10,0)),""))</f>
        <v/>
      </c>
      <c r="G94" s="26" t="str">
        <f aca="false">IF(OR(E94="",F94=""),"",WORKDAY(E94,F94,Lists!$L$4:$L$13))</f>
        <v/>
      </c>
      <c r="H94" s="22"/>
      <c r="I94" s="24"/>
      <c r="J94" s="25" t="str">
        <f aca="false">IF(B94="","",IF(I94="","Open","Closed"))</f>
        <v/>
      </c>
      <c r="K94" s="23" t="str">
        <f aca="false">IF(G94="","",IF(I94="",IF(Lists!$E$4&gt;G94,"Overdue","Open - within SLA"),IF(I94&lt;=G94,"Met","Breached")))</f>
        <v/>
      </c>
      <c r="L94" s="25" t="str">
        <f aca="false">IF(E94="","",MAX(0,NETWORKDAYS(E94,IF(I94="",Lists!$E$4,I94),Lists!$L$4:$L$13)-1))</f>
        <v/>
      </c>
      <c r="M94" s="22"/>
      <c r="N94" s="22"/>
    </row>
    <row r="95" customFormat="false" ht="15" hidden="false" customHeight="false" outlineLevel="0" collapsed="false">
      <c r="A95" s="22"/>
      <c r="B95" s="22"/>
      <c r="C95" s="22"/>
      <c r="D95" s="23" t="str">
        <f aca="false">IF(C95="","",IFERROR(INDEX(Employees!$B$5:$B$200,MATCH(C95,Employees!$A$5:$A$200,0)),"ID not found"))</f>
        <v/>
      </c>
      <c r="E95" s="24"/>
      <c r="F95" s="25" t="str">
        <f aca="false">IF(B95="","",IFERROR(INDEX(Lists!$B$4:$B$10,MATCH(B95,Lists!$A$4:$A$10,0)),""))</f>
        <v/>
      </c>
      <c r="G95" s="26" t="str">
        <f aca="false">IF(OR(E95="",F95=""),"",WORKDAY(E95,F95,Lists!$L$4:$L$13))</f>
        <v/>
      </c>
      <c r="H95" s="22"/>
      <c r="I95" s="24"/>
      <c r="J95" s="25" t="str">
        <f aca="false">IF(B95="","",IF(I95="","Open","Closed"))</f>
        <v/>
      </c>
      <c r="K95" s="23" t="str">
        <f aca="false">IF(G95="","",IF(I95="",IF(Lists!$E$4&gt;G95,"Overdue","Open - within SLA"),IF(I95&lt;=G95,"Met","Breached")))</f>
        <v/>
      </c>
      <c r="L95" s="25" t="str">
        <f aca="false">IF(E95="","",MAX(0,NETWORKDAYS(E95,IF(I95="",Lists!$E$4,I95),Lists!$L$4:$L$13)-1))</f>
        <v/>
      </c>
      <c r="M95" s="22"/>
      <c r="N95" s="22"/>
    </row>
    <row r="96" customFormat="false" ht="15" hidden="false" customHeight="false" outlineLevel="0" collapsed="false">
      <c r="A96" s="22"/>
      <c r="B96" s="22"/>
      <c r="C96" s="22"/>
      <c r="D96" s="23" t="str">
        <f aca="false">IF(C96="","",IFERROR(INDEX(Employees!$B$5:$B$200,MATCH(C96,Employees!$A$5:$A$200,0)),"ID not found"))</f>
        <v/>
      </c>
      <c r="E96" s="24"/>
      <c r="F96" s="25" t="str">
        <f aca="false">IF(B96="","",IFERROR(INDEX(Lists!$B$4:$B$10,MATCH(B96,Lists!$A$4:$A$10,0)),""))</f>
        <v/>
      </c>
      <c r="G96" s="26" t="str">
        <f aca="false">IF(OR(E96="",F96=""),"",WORKDAY(E96,F96,Lists!$L$4:$L$13))</f>
        <v/>
      </c>
      <c r="H96" s="22"/>
      <c r="I96" s="24"/>
      <c r="J96" s="25" t="str">
        <f aca="false">IF(B96="","",IF(I96="","Open","Closed"))</f>
        <v/>
      </c>
      <c r="K96" s="23" t="str">
        <f aca="false">IF(G96="","",IF(I96="",IF(Lists!$E$4&gt;G96,"Overdue","Open - within SLA"),IF(I96&lt;=G96,"Met","Breached")))</f>
        <v/>
      </c>
      <c r="L96" s="25" t="str">
        <f aca="false">IF(E96="","",MAX(0,NETWORKDAYS(E96,IF(I96="",Lists!$E$4,I96),Lists!$L$4:$L$13)-1))</f>
        <v/>
      </c>
      <c r="M96" s="22"/>
      <c r="N96" s="22"/>
    </row>
    <row r="97" customFormat="false" ht="15" hidden="false" customHeight="false" outlineLevel="0" collapsed="false">
      <c r="A97" s="22"/>
      <c r="B97" s="22"/>
      <c r="C97" s="22"/>
      <c r="D97" s="23" t="str">
        <f aca="false">IF(C97="","",IFERROR(INDEX(Employees!$B$5:$B$200,MATCH(C97,Employees!$A$5:$A$200,0)),"ID not found"))</f>
        <v/>
      </c>
      <c r="E97" s="24"/>
      <c r="F97" s="25" t="str">
        <f aca="false">IF(B97="","",IFERROR(INDEX(Lists!$B$4:$B$10,MATCH(B97,Lists!$A$4:$A$10,0)),""))</f>
        <v/>
      </c>
      <c r="G97" s="26" t="str">
        <f aca="false">IF(OR(E97="",F97=""),"",WORKDAY(E97,F97,Lists!$L$4:$L$13))</f>
        <v/>
      </c>
      <c r="H97" s="22"/>
      <c r="I97" s="24"/>
      <c r="J97" s="25" t="str">
        <f aca="false">IF(B97="","",IF(I97="","Open","Closed"))</f>
        <v/>
      </c>
      <c r="K97" s="23" t="str">
        <f aca="false">IF(G97="","",IF(I97="",IF(Lists!$E$4&gt;G97,"Overdue","Open - within SLA"),IF(I97&lt;=G97,"Met","Breached")))</f>
        <v/>
      </c>
      <c r="L97" s="25" t="str">
        <f aca="false">IF(E97="","",MAX(0,NETWORKDAYS(E97,IF(I97="",Lists!$E$4,I97),Lists!$L$4:$L$13)-1))</f>
        <v/>
      </c>
      <c r="M97" s="22"/>
      <c r="N97" s="22"/>
    </row>
    <row r="98" customFormat="false" ht="15" hidden="false" customHeight="false" outlineLevel="0" collapsed="false">
      <c r="A98" s="22"/>
      <c r="B98" s="22"/>
      <c r="C98" s="22"/>
      <c r="D98" s="23" t="str">
        <f aca="false">IF(C98="","",IFERROR(INDEX(Employees!$B$5:$B$200,MATCH(C98,Employees!$A$5:$A$200,0)),"ID not found"))</f>
        <v/>
      </c>
      <c r="E98" s="24"/>
      <c r="F98" s="25" t="str">
        <f aca="false">IF(B98="","",IFERROR(INDEX(Lists!$B$4:$B$10,MATCH(B98,Lists!$A$4:$A$10,0)),""))</f>
        <v/>
      </c>
      <c r="G98" s="26" t="str">
        <f aca="false">IF(OR(E98="",F98=""),"",WORKDAY(E98,F98,Lists!$L$4:$L$13))</f>
        <v/>
      </c>
      <c r="H98" s="22"/>
      <c r="I98" s="24"/>
      <c r="J98" s="25" t="str">
        <f aca="false">IF(B98="","",IF(I98="","Open","Closed"))</f>
        <v/>
      </c>
      <c r="K98" s="23" t="str">
        <f aca="false">IF(G98="","",IF(I98="",IF(Lists!$E$4&gt;G98,"Overdue","Open - within SLA"),IF(I98&lt;=G98,"Met","Breached")))</f>
        <v/>
      </c>
      <c r="L98" s="25" t="str">
        <f aca="false">IF(E98="","",MAX(0,NETWORKDAYS(E98,IF(I98="",Lists!$E$4,I98),Lists!$L$4:$L$13)-1))</f>
        <v/>
      </c>
      <c r="M98" s="22"/>
      <c r="N98" s="22"/>
    </row>
    <row r="99" customFormat="false" ht="15" hidden="false" customHeight="false" outlineLevel="0" collapsed="false">
      <c r="A99" s="22"/>
      <c r="B99" s="22"/>
      <c r="C99" s="22"/>
      <c r="D99" s="23" t="str">
        <f aca="false">IF(C99="","",IFERROR(INDEX(Employees!$B$5:$B$200,MATCH(C99,Employees!$A$5:$A$200,0)),"ID not found"))</f>
        <v/>
      </c>
      <c r="E99" s="24"/>
      <c r="F99" s="25" t="str">
        <f aca="false">IF(B99="","",IFERROR(INDEX(Lists!$B$4:$B$10,MATCH(B99,Lists!$A$4:$A$10,0)),""))</f>
        <v/>
      </c>
      <c r="G99" s="26" t="str">
        <f aca="false">IF(OR(E99="",F99=""),"",WORKDAY(E99,F99,Lists!$L$4:$L$13))</f>
        <v/>
      </c>
      <c r="H99" s="22"/>
      <c r="I99" s="24"/>
      <c r="J99" s="25" t="str">
        <f aca="false">IF(B99="","",IF(I99="","Open","Closed"))</f>
        <v/>
      </c>
      <c r="K99" s="23" t="str">
        <f aca="false">IF(G99="","",IF(I99="",IF(Lists!$E$4&gt;G99,"Overdue","Open - within SLA"),IF(I99&lt;=G99,"Met","Breached")))</f>
        <v/>
      </c>
      <c r="L99" s="25" t="str">
        <f aca="false">IF(E99="","",MAX(0,NETWORKDAYS(E99,IF(I99="",Lists!$E$4,I99),Lists!$L$4:$L$13)-1))</f>
        <v/>
      </c>
      <c r="M99" s="22"/>
      <c r="N99" s="22"/>
    </row>
    <row r="100" customFormat="false" ht="15" hidden="false" customHeight="false" outlineLevel="0" collapsed="false">
      <c r="A100" s="22"/>
      <c r="B100" s="22"/>
      <c r="C100" s="22"/>
      <c r="D100" s="23" t="str">
        <f aca="false">IF(C100="","",IFERROR(INDEX(Employees!$B$5:$B$200,MATCH(C100,Employees!$A$5:$A$200,0)),"ID not found"))</f>
        <v/>
      </c>
      <c r="E100" s="24"/>
      <c r="F100" s="25" t="str">
        <f aca="false">IF(B100="","",IFERROR(INDEX(Lists!$B$4:$B$10,MATCH(B100,Lists!$A$4:$A$10,0)),""))</f>
        <v/>
      </c>
      <c r="G100" s="26" t="str">
        <f aca="false">IF(OR(E100="",F100=""),"",WORKDAY(E100,F100,Lists!$L$4:$L$13))</f>
        <v/>
      </c>
      <c r="H100" s="22"/>
      <c r="I100" s="24"/>
      <c r="J100" s="25" t="str">
        <f aca="false">IF(B100="","",IF(I100="","Open","Closed"))</f>
        <v/>
      </c>
      <c r="K100" s="23" t="str">
        <f aca="false">IF(G100="","",IF(I100="",IF(Lists!$E$4&gt;G100,"Overdue","Open - within SLA"),IF(I100&lt;=G100,"Met","Breached")))</f>
        <v/>
      </c>
      <c r="L100" s="25" t="str">
        <f aca="false">IF(E100="","",MAX(0,NETWORKDAYS(E100,IF(I100="",Lists!$E$4,I100),Lists!$L$4:$L$13)-1))</f>
        <v/>
      </c>
      <c r="M100" s="22"/>
      <c r="N100" s="22"/>
    </row>
    <row r="101" customFormat="false" ht="15" hidden="false" customHeight="false" outlineLevel="0" collapsed="false">
      <c r="A101" s="22"/>
      <c r="B101" s="22"/>
      <c r="C101" s="22"/>
      <c r="D101" s="23" t="str">
        <f aca="false">IF(C101="","",IFERROR(INDEX(Employees!$B$5:$B$200,MATCH(C101,Employees!$A$5:$A$200,0)),"ID not found"))</f>
        <v/>
      </c>
      <c r="E101" s="24"/>
      <c r="F101" s="25" t="str">
        <f aca="false">IF(B101="","",IFERROR(INDEX(Lists!$B$4:$B$10,MATCH(B101,Lists!$A$4:$A$10,0)),""))</f>
        <v/>
      </c>
      <c r="G101" s="26" t="str">
        <f aca="false">IF(OR(E101="",F101=""),"",WORKDAY(E101,F101,Lists!$L$4:$L$13))</f>
        <v/>
      </c>
      <c r="H101" s="22"/>
      <c r="I101" s="24"/>
      <c r="J101" s="25" t="str">
        <f aca="false">IF(B101="","",IF(I101="","Open","Closed"))</f>
        <v/>
      </c>
      <c r="K101" s="23" t="str">
        <f aca="false">IF(G101="","",IF(I101="",IF(Lists!$E$4&gt;G101,"Overdue","Open - within SLA"),IF(I101&lt;=G101,"Met","Breached")))</f>
        <v/>
      </c>
      <c r="L101" s="25" t="str">
        <f aca="false">IF(E101="","",MAX(0,NETWORKDAYS(E101,IF(I101="",Lists!$E$4,I101),Lists!$L$4:$L$13)-1))</f>
        <v/>
      </c>
      <c r="M101" s="22"/>
      <c r="N101" s="22"/>
    </row>
    <row r="102" customFormat="false" ht="15" hidden="false" customHeight="false" outlineLevel="0" collapsed="false">
      <c r="A102" s="22"/>
      <c r="B102" s="22"/>
      <c r="C102" s="22"/>
      <c r="D102" s="23" t="str">
        <f aca="false">IF(C102="","",IFERROR(INDEX(Employees!$B$5:$B$200,MATCH(C102,Employees!$A$5:$A$200,0)),"ID not found"))</f>
        <v/>
      </c>
      <c r="E102" s="24"/>
      <c r="F102" s="25" t="str">
        <f aca="false">IF(B102="","",IFERROR(INDEX(Lists!$B$4:$B$10,MATCH(B102,Lists!$A$4:$A$10,0)),""))</f>
        <v/>
      </c>
      <c r="G102" s="26" t="str">
        <f aca="false">IF(OR(E102="",F102=""),"",WORKDAY(E102,F102,Lists!$L$4:$L$13))</f>
        <v/>
      </c>
      <c r="H102" s="22"/>
      <c r="I102" s="24"/>
      <c r="J102" s="25" t="str">
        <f aca="false">IF(B102="","",IF(I102="","Open","Closed"))</f>
        <v/>
      </c>
      <c r="K102" s="23" t="str">
        <f aca="false">IF(G102="","",IF(I102="",IF(Lists!$E$4&gt;G102,"Overdue","Open - within SLA"),IF(I102&lt;=G102,"Met","Breached")))</f>
        <v/>
      </c>
      <c r="L102" s="25" t="str">
        <f aca="false">IF(E102="","",MAX(0,NETWORKDAYS(E102,IF(I102="",Lists!$E$4,I102),Lists!$L$4:$L$13)-1))</f>
        <v/>
      </c>
      <c r="M102" s="22"/>
      <c r="N102" s="22"/>
    </row>
    <row r="103" customFormat="false" ht="15" hidden="false" customHeight="false" outlineLevel="0" collapsed="false">
      <c r="A103" s="22"/>
      <c r="B103" s="22"/>
      <c r="C103" s="22"/>
      <c r="D103" s="23" t="str">
        <f aca="false">IF(C103="","",IFERROR(INDEX(Employees!$B$5:$B$200,MATCH(C103,Employees!$A$5:$A$200,0)),"ID not found"))</f>
        <v/>
      </c>
      <c r="E103" s="24"/>
      <c r="F103" s="25" t="str">
        <f aca="false">IF(B103="","",IFERROR(INDEX(Lists!$B$4:$B$10,MATCH(B103,Lists!$A$4:$A$10,0)),""))</f>
        <v/>
      </c>
      <c r="G103" s="26" t="str">
        <f aca="false">IF(OR(E103="",F103=""),"",WORKDAY(E103,F103,Lists!$L$4:$L$13))</f>
        <v/>
      </c>
      <c r="H103" s="22"/>
      <c r="I103" s="24"/>
      <c r="J103" s="25" t="str">
        <f aca="false">IF(B103="","",IF(I103="","Open","Closed"))</f>
        <v/>
      </c>
      <c r="K103" s="23" t="str">
        <f aca="false">IF(G103="","",IF(I103="",IF(Lists!$E$4&gt;G103,"Overdue","Open - within SLA"),IF(I103&lt;=G103,"Met","Breached")))</f>
        <v/>
      </c>
      <c r="L103" s="25" t="str">
        <f aca="false">IF(E103="","",MAX(0,NETWORKDAYS(E103,IF(I103="",Lists!$E$4,I103),Lists!$L$4:$L$13)-1))</f>
        <v/>
      </c>
      <c r="M103" s="22"/>
      <c r="N103" s="22"/>
    </row>
    <row r="104" customFormat="false" ht="15" hidden="false" customHeight="false" outlineLevel="0" collapsed="false">
      <c r="A104" s="22"/>
      <c r="B104" s="22"/>
      <c r="C104" s="22"/>
      <c r="D104" s="23" t="str">
        <f aca="false">IF(C104="","",IFERROR(INDEX(Employees!$B$5:$B$200,MATCH(C104,Employees!$A$5:$A$200,0)),"ID not found"))</f>
        <v/>
      </c>
      <c r="E104" s="24"/>
      <c r="F104" s="25" t="str">
        <f aca="false">IF(B104="","",IFERROR(INDEX(Lists!$B$4:$B$10,MATCH(B104,Lists!$A$4:$A$10,0)),""))</f>
        <v/>
      </c>
      <c r="G104" s="26" t="str">
        <f aca="false">IF(OR(E104="",F104=""),"",WORKDAY(E104,F104,Lists!$L$4:$L$13))</f>
        <v/>
      </c>
      <c r="H104" s="22"/>
      <c r="I104" s="24"/>
      <c r="J104" s="25" t="str">
        <f aca="false">IF(B104="","",IF(I104="","Open","Closed"))</f>
        <v/>
      </c>
      <c r="K104" s="23" t="str">
        <f aca="false">IF(G104="","",IF(I104="",IF(Lists!$E$4&gt;G104,"Overdue","Open - within SLA"),IF(I104&lt;=G104,"Met","Breached")))</f>
        <v/>
      </c>
      <c r="L104" s="25" t="str">
        <f aca="false">IF(E104="","",MAX(0,NETWORKDAYS(E104,IF(I104="",Lists!$E$4,I104),Lists!$L$4:$L$13)-1))</f>
        <v/>
      </c>
      <c r="M104" s="22"/>
      <c r="N104" s="22"/>
    </row>
    <row r="105" customFormat="false" ht="15" hidden="false" customHeight="false" outlineLevel="0" collapsed="false">
      <c r="A105" s="22"/>
      <c r="B105" s="22"/>
      <c r="C105" s="22"/>
      <c r="D105" s="23" t="str">
        <f aca="false">IF(C105="","",IFERROR(INDEX(Employees!$B$5:$B$200,MATCH(C105,Employees!$A$5:$A$200,0)),"ID not found"))</f>
        <v/>
      </c>
      <c r="E105" s="24"/>
      <c r="F105" s="25" t="str">
        <f aca="false">IF(B105="","",IFERROR(INDEX(Lists!$B$4:$B$10,MATCH(B105,Lists!$A$4:$A$10,0)),""))</f>
        <v/>
      </c>
      <c r="G105" s="26" t="str">
        <f aca="false">IF(OR(E105="",F105=""),"",WORKDAY(E105,F105,Lists!$L$4:$L$13))</f>
        <v/>
      </c>
      <c r="H105" s="22"/>
      <c r="I105" s="24"/>
      <c r="J105" s="25" t="str">
        <f aca="false">IF(B105="","",IF(I105="","Open","Closed"))</f>
        <v/>
      </c>
      <c r="K105" s="23" t="str">
        <f aca="false">IF(G105="","",IF(I105="",IF(Lists!$E$4&gt;G105,"Overdue","Open - within SLA"),IF(I105&lt;=G105,"Met","Breached")))</f>
        <v/>
      </c>
      <c r="L105" s="25" t="str">
        <f aca="false">IF(E105="","",MAX(0,NETWORKDAYS(E105,IF(I105="",Lists!$E$4,I105),Lists!$L$4:$L$13)-1))</f>
        <v/>
      </c>
      <c r="M105" s="22"/>
      <c r="N105" s="22"/>
    </row>
    <row r="106" customFormat="false" ht="15" hidden="false" customHeight="false" outlineLevel="0" collapsed="false">
      <c r="A106" s="22"/>
      <c r="B106" s="22"/>
      <c r="C106" s="22"/>
      <c r="D106" s="23" t="str">
        <f aca="false">IF(C106="","",IFERROR(INDEX(Employees!$B$5:$B$200,MATCH(C106,Employees!$A$5:$A$200,0)),"ID not found"))</f>
        <v/>
      </c>
      <c r="E106" s="24"/>
      <c r="F106" s="25" t="str">
        <f aca="false">IF(B106="","",IFERROR(INDEX(Lists!$B$4:$B$10,MATCH(B106,Lists!$A$4:$A$10,0)),""))</f>
        <v/>
      </c>
      <c r="G106" s="26" t="str">
        <f aca="false">IF(OR(E106="",F106=""),"",WORKDAY(E106,F106,Lists!$L$4:$L$13))</f>
        <v/>
      </c>
      <c r="H106" s="22"/>
      <c r="I106" s="24"/>
      <c r="J106" s="25" t="str">
        <f aca="false">IF(B106="","",IF(I106="","Open","Closed"))</f>
        <v/>
      </c>
      <c r="K106" s="23" t="str">
        <f aca="false">IF(G106="","",IF(I106="",IF(Lists!$E$4&gt;G106,"Overdue","Open - within SLA"),IF(I106&lt;=G106,"Met","Breached")))</f>
        <v/>
      </c>
      <c r="L106" s="25" t="str">
        <f aca="false">IF(E106="","",MAX(0,NETWORKDAYS(E106,IF(I106="",Lists!$E$4,I106),Lists!$L$4:$L$13)-1))</f>
        <v/>
      </c>
      <c r="M106" s="22"/>
      <c r="N106" s="22"/>
    </row>
    <row r="107" customFormat="false" ht="15" hidden="false" customHeight="false" outlineLevel="0" collapsed="false">
      <c r="A107" s="22"/>
      <c r="B107" s="22"/>
      <c r="C107" s="22"/>
      <c r="D107" s="23" t="str">
        <f aca="false">IF(C107="","",IFERROR(INDEX(Employees!$B$5:$B$200,MATCH(C107,Employees!$A$5:$A$200,0)),"ID not found"))</f>
        <v/>
      </c>
      <c r="E107" s="24"/>
      <c r="F107" s="25" t="str">
        <f aca="false">IF(B107="","",IFERROR(INDEX(Lists!$B$4:$B$10,MATCH(B107,Lists!$A$4:$A$10,0)),""))</f>
        <v/>
      </c>
      <c r="G107" s="26" t="str">
        <f aca="false">IF(OR(E107="",F107=""),"",WORKDAY(E107,F107,Lists!$L$4:$L$13))</f>
        <v/>
      </c>
      <c r="H107" s="22"/>
      <c r="I107" s="24"/>
      <c r="J107" s="25" t="str">
        <f aca="false">IF(B107="","",IF(I107="","Open","Closed"))</f>
        <v/>
      </c>
      <c r="K107" s="23" t="str">
        <f aca="false">IF(G107="","",IF(I107="",IF(Lists!$E$4&gt;G107,"Overdue","Open - within SLA"),IF(I107&lt;=G107,"Met","Breached")))</f>
        <v/>
      </c>
      <c r="L107" s="25" t="str">
        <f aca="false">IF(E107="","",MAX(0,NETWORKDAYS(E107,IF(I107="",Lists!$E$4,I107),Lists!$L$4:$L$13)-1))</f>
        <v/>
      </c>
      <c r="M107" s="22"/>
      <c r="N107" s="22"/>
    </row>
    <row r="108" customFormat="false" ht="15" hidden="false" customHeight="false" outlineLevel="0" collapsed="false">
      <c r="A108" s="22"/>
      <c r="B108" s="22"/>
      <c r="C108" s="22"/>
      <c r="D108" s="23" t="str">
        <f aca="false">IF(C108="","",IFERROR(INDEX(Employees!$B$5:$B$200,MATCH(C108,Employees!$A$5:$A$200,0)),"ID not found"))</f>
        <v/>
      </c>
      <c r="E108" s="24"/>
      <c r="F108" s="25" t="str">
        <f aca="false">IF(B108="","",IFERROR(INDEX(Lists!$B$4:$B$10,MATCH(B108,Lists!$A$4:$A$10,0)),""))</f>
        <v/>
      </c>
      <c r="G108" s="26" t="str">
        <f aca="false">IF(OR(E108="",F108=""),"",WORKDAY(E108,F108,Lists!$L$4:$L$13))</f>
        <v/>
      </c>
      <c r="H108" s="22"/>
      <c r="I108" s="24"/>
      <c r="J108" s="25" t="str">
        <f aca="false">IF(B108="","",IF(I108="","Open","Closed"))</f>
        <v/>
      </c>
      <c r="K108" s="23" t="str">
        <f aca="false">IF(G108="","",IF(I108="",IF(Lists!$E$4&gt;G108,"Overdue","Open - within SLA"),IF(I108&lt;=G108,"Met","Breached")))</f>
        <v/>
      </c>
      <c r="L108" s="25" t="str">
        <f aca="false">IF(E108="","",MAX(0,NETWORKDAYS(E108,IF(I108="",Lists!$E$4,I108),Lists!$L$4:$L$13)-1))</f>
        <v/>
      </c>
      <c r="M108" s="22"/>
      <c r="N108" s="22"/>
    </row>
    <row r="109" customFormat="false" ht="15" hidden="false" customHeight="false" outlineLevel="0" collapsed="false">
      <c r="A109" s="22"/>
      <c r="B109" s="22"/>
      <c r="C109" s="22"/>
      <c r="D109" s="23" t="str">
        <f aca="false">IF(C109="","",IFERROR(INDEX(Employees!$B$5:$B$200,MATCH(C109,Employees!$A$5:$A$200,0)),"ID not found"))</f>
        <v/>
      </c>
      <c r="E109" s="24"/>
      <c r="F109" s="25" t="str">
        <f aca="false">IF(B109="","",IFERROR(INDEX(Lists!$B$4:$B$10,MATCH(B109,Lists!$A$4:$A$10,0)),""))</f>
        <v/>
      </c>
      <c r="G109" s="26" t="str">
        <f aca="false">IF(OR(E109="",F109=""),"",WORKDAY(E109,F109,Lists!$L$4:$L$13))</f>
        <v/>
      </c>
      <c r="H109" s="22"/>
      <c r="I109" s="24"/>
      <c r="J109" s="25" t="str">
        <f aca="false">IF(B109="","",IF(I109="","Open","Closed"))</f>
        <v/>
      </c>
      <c r="K109" s="23" t="str">
        <f aca="false">IF(G109="","",IF(I109="",IF(Lists!$E$4&gt;G109,"Overdue","Open - within SLA"),IF(I109&lt;=G109,"Met","Breached")))</f>
        <v/>
      </c>
      <c r="L109" s="25" t="str">
        <f aca="false">IF(E109="","",MAX(0,NETWORKDAYS(E109,IF(I109="",Lists!$E$4,I109),Lists!$L$4:$L$13)-1))</f>
        <v/>
      </c>
      <c r="M109" s="22"/>
      <c r="N109" s="22"/>
    </row>
    <row r="110" customFormat="false" ht="15" hidden="false" customHeight="false" outlineLevel="0" collapsed="false">
      <c r="A110" s="22"/>
      <c r="B110" s="22"/>
      <c r="C110" s="22"/>
      <c r="D110" s="23" t="str">
        <f aca="false">IF(C110="","",IFERROR(INDEX(Employees!$B$5:$B$200,MATCH(C110,Employees!$A$5:$A$200,0)),"ID not found"))</f>
        <v/>
      </c>
      <c r="E110" s="24"/>
      <c r="F110" s="25" t="str">
        <f aca="false">IF(B110="","",IFERROR(INDEX(Lists!$B$4:$B$10,MATCH(B110,Lists!$A$4:$A$10,0)),""))</f>
        <v/>
      </c>
      <c r="G110" s="26" t="str">
        <f aca="false">IF(OR(E110="",F110=""),"",WORKDAY(E110,F110,Lists!$L$4:$L$13))</f>
        <v/>
      </c>
      <c r="H110" s="22"/>
      <c r="I110" s="24"/>
      <c r="J110" s="25" t="str">
        <f aca="false">IF(B110="","",IF(I110="","Open","Closed"))</f>
        <v/>
      </c>
      <c r="K110" s="23" t="str">
        <f aca="false">IF(G110="","",IF(I110="",IF(Lists!$E$4&gt;G110,"Overdue","Open - within SLA"),IF(I110&lt;=G110,"Met","Breached")))</f>
        <v/>
      </c>
      <c r="L110" s="25" t="str">
        <f aca="false">IF(E110="","",MAX(0,NETWORKDAYS(E110,IF(I110="",Lists!$E$4,I110),Lists!$L$4:$L$13)-1))</f>
        <v/>
      </c>
      <c r="M110" s="22"/>
      <c r="N110" s="22"/>
    </row>
    <row r="111" customFormat="false" ht="15" hidden="false" customHeight="false" outlineLevel="0" collapsed="false">
      <c r="A111" s="22"/>
      <c r="B111" s="22"/>
      <c r="C111" s="22"/>
      <c r="D111" s="23" t="str">
        <f aca="false">IF(C111="","",IFERROR(INDEX(Employees!$B$5:$B$200,MATCH(C111,Employees!$A$5:$A$200,0)),"ID not found"))</f>
        <v/>
      </c>
      <c r="E111" s="24"/>
      <c r="F111" s="25" t="str">
        <f aca="false">IF(B111="","",IFERROR(INDEX(Lists!$B$4:$B$10,MATCH(B111,Lists!$A$4:$A$10,0)),""))</f>
        <v/>
      </c>
      <c r="G111" s="26" t="str">
        <f aca="false">IF(OR(E111="",F111=""),"",WORKDAY(E111,F111,Lists!$L$4:$L$13))</f>
        <v/>
      </c>
      <c r="H111" s="22"/>
      <c r="I111" s="24"/>
      <c r="J111" s="25" t="str">
        <f aca="false">IF(B111="","",IF(I111="","Open","Closed"))</f>
        <v/>
      </c>
      <c r="K111" s="23" t="str">
        <f aca="false">IF(G111="","",IF(I111="",IF(Lists!$E$4&gt;G111,"Overdue","Open - within SLA"),IF(I111&lt;=G111,"Met","Breached")))</f>
        <v/>
      </c>
      <c r="L111" s="25" t="str">
        <f aca="false">IF(E111="","",MAX(0,NETWORKDAYS(E111,IF(I111="",Lists!$E$4,I111),Lists!$L$4:$L$13)-1))</f>
        <v/>
      </c>
      <c r="M111" s="22"/>
      <c r="N111" s="22"/>
    </row>
    <row r="112" customFormat="false" ht="15" hidden="false" customHeight="false" outlineLevel="0" collapsed="false">
      <c r="A112" s="22"/>
      <c r="B112" s="22"/>
      <c r="C112" s="22"/>
      <c r="D112" s="23" t="str">
        <f aca="false">IF(C112="","",IFERROR(INDEX(Employees!$B$5:$B$200,MATCH(C112,Employees!$A$5:$A$200,0)),"ID not found"))</f>
        <v/>
      </c>
      <c r="E112" s="24"/>
      <c r="F112" s="25" t="str">
        <f aca="false">IF(B112="","",IFERROR(INDEX(Lists!$B$4:$B$10,MATCH(B112,Lists!$A$4:$A$10,0)),""))</f>
        <v/>
      </c>
      <c r="G112" s="26" t="str">
        <f aca="false">IF(OR(E112="",F112=""),"",WORKDAY(E112,F112,Lists!$L$4:$L$13))</f>
        <v/>
      </c>
      <c r="H112" s="22"/>
      <c r="I112" s="24"/>
      <c r="J112" s="25" t="str">
        <f aca="false">IF(B112="","",IF(I112="","Open","Closed"))</f>
        <v/>
      </c>
      <c r="K112" s="23" t="str">
        <f aca="false">IF(G112="","",IF(I112="",IF(Lists!$E$4&gt;G112,"Overdue","Open - within SLA"),IF(I112&lt;=G112,"Met","Breached")))</f>
        <v/>
      </c>
      <c r="L112" s="25" t="str">
        <f aca="false">IF(E112="","",MAX(0,NETWORKDAYS(E112,IF(I112="",Lists!$E$4,I112),Lists!$L$4:$L$13)-1))</f>
        <v/>
      </c>
      <c r="M112" s="22"/>
      <c r="N112" s="22"/>
    </row>
    <row r="113" customFormat="false" ht="15" hidden="false" customHeight="false" outlineLevel="0" collapsed="false">
      <c r="A113" s="22"/>
      <c r="B113" s="22"/>
      <c r="C113" s="22"/>
      <c r="D113" s="23" t="str">
        <f aca="false">IF(C113="","",IFERROR(INDEX(Employees!$B$5:$B$200,MATCH(C113,Employees!$A$5:$A$200,0)),"ID not found"))</f>
        <v/>
      </c>
      <c r="E113" s="24"/>
      <c r="F113" s="25" t="str">
        <f aca="false">IF(B113="","",IFERROR(INDEX(Lists!$B$4:$B$10,MATCH(B113,Lists!$A$4:$A$10,0)),""))</f>
        <v/>
      </c>
      <c r="G113" s="26" t="str">
        <f aca="false">IF(OR(E113="",F113=""),"",WORKDAY(E113,F113,Lists!$L$4:$L$13))</f>
        <v/>
      </c>
      <c r="H113" s="22"/>
      <c r="I113" s="24"/>
      <c r="J113" s="25" t="str">
        <f aca="false">IF(B113="","",IF(I113="","Open","Closed"))</f>
        <v/>
      </c>
      <c r="K113" s="23" t="str">
        <f aca="false">IF(G113="","",IF(I113="",IF(Lists!$E$4&gt;G113,"Overdue","Open - within SLA"),IF(I113&lt;=G113,"Met","Breached")))</f>
        <v/>
      </c>
      <c r="L113" s="25" t="str">
        <f aca="false">IF(E113="","",MAX(0,NETWORKDAYS(E113,IF(I113="",Lists!$E$4,I113),Lists!$L$4:$L$13)-1))</f>
        <v/>
      </c>
      <c r="M113" s="22"/>
      <c r="N113" s="22"/>
    </row>
    <row r="114" customFormat="false" ht="15" hidden="false" customHeight="false" outlineLevel="0" collapsed="false">
      <c r="A114" s="22"/>
      <c r="B114" s="22"/>
      <c r="C114" s="22"/>
      <c r="D114" s="23" t="str">
        <f aca="false">IF(C114="","",IFERROR(INDEX(Employees!$B$5:$B$200,MATCH(C114,Employees!$A$5:$A$200,0)),"ID not found"))</f>
        <v/>
      </c>
      <c r="E114" s="24"/>
      <c r="F114" s="25" t="str">
        <f aca="false">IF(B114="","",IFERROR(INDEX(Lists!$B$4:$B$10,MATCH(B114,Lists!$A$4:$A$10,0)),""))</f>
        <v/>
      </c>
      <c r="G114" s="26" t="str">
        <f aca="false">IF(OR(E114="",F114=""),"",WORKDAY(E114,F114,Lists!$L$4:$L$13))</f>
        <v/>
      </c>
      <c r="H114" s="22"/>
      <c r="I114" s="24"/>
      <c r="J114" s="25" t="str">
        <f aca="false">IF(B114="","",IF(I114="","Open","Closed"))</f>
        <v/>
      </c>
      <c r="K114" s="23" t="str">
        <f aca="false">IF(G114="","",IF(I114="",IF(Lists!$E$4&gt;G114,"Overdue","Open - within SLA"),IF(I114&lt;=G114,"Met","Breached")))</f>
        <v/>
      </c>
      <c r="L114" s="25" t="str">
        <f aca="false">IF(E114="","",MAX(0,NETWORKDAYS(E114,IF(I114="",Lists!$E$4,I114),Lists!$L$4:$L$13)-1))</f>
        <v/>
      </c>
      <c r="M114" s="22"/>
      <c r="N114" s="22"/>
    </row>
    <row r="115" customFormat="false" ht="15" hidden="false" customHeight="false" outlineLevel="0" collapsed="false">
      <c r="A115" s="22"/>
      <c r="B115" s="22"/>
      <c r="C115" s="22"/>
      <c r="D115" s="23" t="str">
        <f aca="false">IF(C115="","",IFERROR(INDEX(Employees!$B$5:$B$200,MATCH(C115,Employees!$A$5:$A$200,0)),"ID not found"))</f>
        <v/>
      </c>
      <c r="E115" s="24"/>
      <c r="F115" s="25" t="str">
        <f aca="false">IF(B115="","",IFERROR(INDEX(Lists!$B$4:$B$10,MATCH(B115,Lists!$A$4:$A$10,0)),""))</f>
        <v/>
      </c>
      <c r="G115" s="26" t="str">
        <f aca="false">IF(OR(E115="",F115=""),"",WORKDAY(E115,F115,Lists!$L$4:$L$13))</f>
        <v/>
      </c>
      <c r="H115" s="22"/>
      <c r="I115" s="24"/>
      <c r="J115" s="25" t="str">
        <f aca="false">IF(B115="","",IF(I115="","Open","Closed"))</f>
        <v/>
      </c>
      <c r="K115" s="23" t="str">
        <f aca="false">IF(G115="","",IF(I115="",IF(Lists!$E$4&gt;G115,"Overdue","Open - within SLA"),IF(I115&lt;=G115,"Met","Breached")))</f>
        <v/>
      </c>
      <c r="L115" s="25" t="str">
        <f aca="false">IF(E115="","",MAX(0,NETWORKDAYS(E115,IF(I115="",Lists!$E$4,I115),Lists!$L$4:$L$13)-1))</f>
        <v/>
      </c>
      <c r="M115" s="22"/>
      <c r="N115" s="22"/>
    </row>
    <row r="116" customFormat="false" ht="15" hidden="false" customHeight="false" outlineLevel="0" collapsed="false">
      <c r="A116" s="22"/>
      <c r="B116" s="22"/>
      <c r="C116" s="22"/>
      <c r="D116" s="23" t="str">
        <f aca="false">IF(C116="","",IFERROR(INDEX(Employees!$B$5:$B$200,MATCH(C116,Employees!$A$5:$A$200,0)),"ID not found"))</f>
        <v/>
      </c>
      <c r="E116" s="24"/>
      <c r="F116" s="25" t="str">
        <f aca="false">IF(B116="","",IFERROR(INDEX(Lists!$B$4:$B$10,MATCH(B116,Lists!$A$4:$A$10,0)),""))</f>
        <v/>
      </c>
      <c r="G116" s="26" t="str">
        <f aca="false">IF(OR(E116="",F116=""),"",WORKDAY(E116,F116,Lists!$L$4:$L$13))</f>
        <v/>
      </c>
      <c r="H116" s="22"/>
      <c r="I116" s="24"/>
      <c r="J116" s="25" t="str">
        <f aca="false">IF(B116="","",IF(I116="","Open","Closed"))</f>
        <v/>
      </c>
      <c r="K116" s="23" t="str">
        <f aca="false">IF(G116="","",IF(I116="",IF(Lists!$E$4&gt;G116,"Overdue","Open - within SLA"),IF(I116&lt;=G116,"Met","Breached")))</f>
        <v/>
      </c>
      <c r="L116" s="25" t="str">
        <f aca="false">IF(E116="","",MAX(0,NETWORKDAYS(E116,IF(I116="",Lists!$E$4,I116),Lists!$L$4:$L$13)-1))</f>
        <v/>
      </c>
      <c r="M116" s="22"/>
      <c r="N116" s="22"/>
    </row>
    <row r="117" customFormat="false" ht="15" hidden="false" customHeight="false" outlineLevel="0" collapsed="false">
      <c r="A117" s="22"/>
      <c r="B117" s="22"/>
      <c r="C117" s="22"/>
      <c r="D117" s="23" t="str">
        <f aca="false">IF(C117="","",IFERROR(INDEX(Employees!$B$5:$B$200,MATCH(C117,Employees!$A$5:$A$200,0)),"ID not found"))</f>
        <v/>
      </c>
      <c r="E117" s="24"/>
      <c r="F117" s="25" t="str">
        <f aca="false">IF(B117="","",IFERROR(INDEX(Lists!$B$4:$B$10,MATCH(B117,Lists!$A$4:$A$10,0)),""))</f>
        <v/>
      </c>
      <c r="G117" s="26" t="str">
        <f aca="false">IF(OR(E117="",F117=""),"",WORKDAY(E117,F117,Lists!$L$4:$L$13))</f>
        <v/>
      </c>
      <c r="H117" s="22"/>
      <c r="I117" s="24"/>
      <c r="J117" s="25" t="str">
        <f aca="false">IF(B117="","",IF(I117="","Open","Closed"))</f>
        <v/>
      </c>
      <c r="K117" s="23" t="str">
        <f aca="false">IF(G117="","",IF(I117="",IF(Lists!$E$4&gt;G117,"Overdue","Open - within SLA"),IF(I117&lt;=G117,"Met","Breached")))</f>
        <v/>
      </c>
      <c r="L117" s="25" t="str">
        <f aca="false">IF(E117="","",MAX(0,NETWORKDAYS(E117,IF(I117="",Lists!$E$4,I117),Lists!$L$4:$L$13)-1))</f>
        <v/>
      </c>
      <c r="M117" s="22"/>
      <c r="N117" s="22"/>
    </row>
    <row r="118" customFormat="false" ht="15" hidden="false" customHeight="false" outlineLevel="0" collapsed="false">
      <c r="A118" s="22"/>
      <c r="B118" s="22"/>
      <c r="C118" s="22"/>
      <c r="D118" s="23" t="str">
        <f aca="false">IF(C118="","",IFERROR(INDEX(Employees!$B$5:$B$200,MATCH(C118,Employees!$A$5:$A$200,0)),"ID not found"))</f>
        <v/>
      </c>
      <c r="E118" s="24"/>
      <c r="F118" s="25" t="str">
        <f aca="false">IF(B118="","",IFERROR(INDEX(Lists!$B$4:$B$10,MATCH(B118,Lists!$A$4:$A$10,0)),""))</f>
        <v/>
      </c>
      <c r="G118" s="26" t="str">
        <f aca="false">IF(OR(E118="",F118=""),"",WORKDAY(E118,F118,Lists!$L$4:$L$13))</f>
        <v/>
      </c>
      <c r="H118" s="22"/>
      <c r="I118" s="24"/>
      <c r="J118" s="25" t="str">
        <f aca="false">IF(B118="","",IF(I118="","Open","Closed"))</f>
        <v/>
      </c>
      <c r="K118" s="23" t="str">
        <f aca="false">IF(G118="","",IF(I118="",IF(Lists!$E$4&gt;G118,"Overdue","Open - within SLA"),IF(I118&lt;=G118,"Met","Breached")))</f>
        <v/>
      </c>
      <c r="L118" s="25" t="str">
        <f aca="false">IF(E118="","",MAX(0,NETWORKDAYS(E118,IF(I118="",Lists!$E$4,I118),Lists!$L$4:$L$13)-1))</f>
        <v/>
      </c>
      <c r="M118" s="22"/>
      <c r="N118" s="22"/>
    </row>
    <row r="119" customFormat="false" ht="15" hidden="false" customHeight="false" outlineLevel="0" collapsed="false">
      <c r="A119" s="22"/>
      <c r="B119" s="22"/>
      <c r="C119" s="22"/>
      <c r="D119" s="23" t="str">
        <f aca="false">IF(C119="","",IFERROR(INDEX(Employees!$B$5:$B$200,MATCH(C119,Employees!$A$5:$A$200,0)),"ID not found"))</f>
        <v/>
      </c>
      <c r="E119" s="24"/>
      <c r="F119" s="25" t="str">
        <f aca="false">IF(B119="","",IFERROR(INDEX(Lists!$B$4:$B$10,MATCH(B119,Lists!$A$4:$A$10,0)),""))</f>
        <v/>
      </c>
      <c r="G119" s="26" t="str">
        <f aca="false">IF(OR(E119="",F119=""),"",WORKDAY(E119,F119,Lists!$L$4:$L$13))</f>
        <v/>
      </c>
      <c r="H119" s="22"/>
      <c r="I119" s="24"/>
      <c r="J119" s="25" t="str">
        <f aca="false">IF(B119="","",IF(I119="","Open","Closed"))</f>
        <v/>
      </c>
      <c r="K119" s="23" t="str">
        <f aca="false">IF(G119="","",IF(I119="",IF(Lists!$E$4&gt;G119,"Overdue","Open - within SLA"),IF(I119&lt;=G119,"Met","Breached")))</f>
        <v/>
      </c>
      <c r="L119" s="25" t="str">
        <f aca="false">IF(E119="","",MAX(0,NETWORKDAYS(E119,IF(I119="",Lists!$E$4,I119),Lists!$L$4:$L$13)-1))</f>
        <v/>
      </c>
      <c r="M119" s="22"/>
      <c r="N119" s="22"/>
    </row>
    <row r="120" customFormat="false" ht="15" hidden="false" customHeight="false" outlineLevel="0" collapsed="false">
      <c r="A120" s="22"/>
      <c r="B120" s="22"/>
      <c r="C120" s="22"/>
      <c r="D120" s="23" t="str">
        <f aca="false">IF(C120="","",IFERROR(INDEX(Employees!$B$5:$B$200,MATCH(C120,Employees!$A$5:$A$200,0)),"ID not found"))</f>
        <v/>
      </c>
      <c r="E120" s="24"/>
      <c r="F120" s="25" t="str">
        <f aca="false">IF(B120="","",IFERROR(INDEX(Lists!$B$4:$B$10,MATCH(B120,Lists!$A$4:$A$10,0)),""))</f>
        <v/>
      </c>
      <c r="G120" s="26" t="str">
        <f aca="false">IF(OR(E120="",F120=""),"",WORKDAY(E120,F120,Lists!$L$4:$L$13))</f>
        <v/>
      </c>
      <c r="H120" s="22"/>
      <c r="I120" s="24"/>
      <c r="J120" s="25" t="str">
        <f aca="false">IF(B120="","",IF(I120="","Open","Closed"))</f>
        <v/>
      </c>
      <c r="K120" s="23" t="str">
        <f aca="false">IF(G120="","",IF(I120="",IF(Lists!$E$4&gt;G120,"Overdue","Open - within SLA"),IF(I120&lt;=G120,"Met","Breached")))</f>
        <v/>
      </c>
      <c r="L120" s="25" t="str">
        <f aca="false">IF(E120="","",MAX(0,NETWORKDAYS(E120,IF(I120="",Lists!$E$4,I120),Lists!$L$4:$L$13)-1))</f>
        <v/>
      </c>
      <c r="M120" s="22"/>
      <c r="N120" s="22"/>
    </row>
    <row r="121" customFormat="false" ht="15" hidden="false" customHeight="false" outlineLevel="0" collapsed="false">
      <c r="A121" s="22"/>
      <c r="B121" s="22"/>
      <c r="C121" s="22"/>
      <c r="D121" s="23" t="str">
        <f aca="false">IF(C121="","",IFERROR(INDEX(Employees!$B$5:$B$200,MATCH(C121,Employees!$A$5:$A$200,0)),"ID not found"))</f>
        <v/>
      </c>
      <c r="E121" s="24"/>
      <c r="F121" s="25" t="str">
        <f aca="false">IF(B121="","",IFERROR(INDEX(Lists!$B$4:$B$10,MATCH(B121,Lists!$A$4:$A$10,0)),""))</f>
        <v/>
      </c>
      <c r="G121" s="26" t="str">
        <f aca="false">IF(OR(E121="",F121=""),"",WORKDAY(E121,F121,Lists!$L$4:$L$13))</f>
        <v/>
      </c>
      <c r="H121" s="22"/>
      <c r="I121" s="24"/>
      <c r="J121" s="25" t="str">
        <f aca="false">IF(B121="","",IF(I121="","Open","Closed"))</f>
        <v/>
      </c>
      <c r="K121" s="23" t="str">
        <f aca="false">IF(G121="","",IF(I121="",IF(Lists!$E$4&gt;G121,"Overdue","Open - within SLA"),IF(I121&lt;=G121,"Met","Breached")))</f>
        <v/>
      </c>
      <c r="L121" s="25" t="str">
        <f aca="false">IF(E121="","",MAX(0,NETWORKDAYS(E121,IF(I121="",Lists!$E$4,I121),Lists!$L$4:$L$13)-1))</f>
        <v/>
      </c>
      <c r="M121" s="22"/>
      <c r="N121" s="22"/>
    </row>
    <row r="122" customFormat="false" ht="15" hidden="false" customHeight="false" outlineLevel="0" collapsed="false">
      <c r="A122" s="22"/>
      <c r="B122" s="22"/>
      <c r="C122" s="22"/>
      <c r="D122" s="23" t="str">
        <f aca="false">IF(C122="","",IFERROR(INDEX(Employees!$B$5:$B$200,MATCH(C122,Employees!$A$5:$A$200,0)),"ID not found"))</f>
        <v/>
      </c>
      <c r="E122" s="24"/>
      <c r="F122" s="25" t="str">
        <f aca="false">IF(B122="","",IFERROR(INDEX(Lists!$B$4:$B$10,MATCH(B122,Lists!$A$4:$A$10,0)),""))</f>
        <v/>
      </c>
      <c r="G122" s="26" t="str">
        <f aca="false">IF(OR(E122="",F122=""),"",WORKDAY(E122,F122,Lists!$L$4:$L$13))</f>
        <v/>
      </c>
      <c r="H122" s="22"/>
      <c r="I122" s="24"/>
      <c r="J122" s="25" t="str">
        <f aca="false">IF(B122="","",IF(I122="","Open","Closed"))</f>
        <v/>
      </c>
      <c r="K122" s="23" t="str">
        <f aca="false">IF(G122="","",IF(I122="",IF(Lists!$E$4&gt;G122,"Overdue","Open - within SLA"),IF(I122&lt;=G122,"Met","Breached")))</f>
        <v/>
      </c>
      <c r="L122" s="25" t="str">
        <f aca="false">IF(E122="","",MAX(0,NETWORKDAYS(E122,IF(I122="",Lists!$E$4,I122),Lists!$L$4:$L$13)-1))</f>
        <v/>
      </c>
      <c r="M122" s="22"/>
      <c r="N122" s="22"/>
    </row>
    <row r="123" customFormat="false" ht="15" hidden="false" customHeight="false" outlineLevel="0" collapsed="false">
      <c r="A123" s="22"/>
      <c r="B123" s="22"/>
      <c r="C123" s="22"/>
      <c r="D123" s="23" t="str">
        <f aca="false">IF(C123="","",IFERROR(INDEX(Employees!$B$5:$B$200,MATCH(C123,Employees!$A$5:$A$200,0)),"ID not found"))</f>
        <v/>
      </c>
      <c r="E123" s="24"/>
      <c r="F123" s="25" t="str">
        <f aca="false">IF(B123="","",IFERROR(INDEX(Lists!$B$4:$B$10,MATCH(B123,Lists!$A$4:$A$10,0)),""))</f>
        <v/>
      </c>
      <c r="G123" s="26" t="str">
        <f aca="false">IF(OR(E123="",F123=""),"",WORKDAY(E123,F123,Lists!$L$4:$L$13))</f>
        <v/>
      </c>
      <c r="H123" s="22"/>
      <c r="I123" s="24"/>
      <c r="J123" s="25" t="str">
        <f aca="false">IF(B123="","",IF(I123="","Open","Closed"))</f>
        <v/>
      </c>
      <c r="K123" s="23" t="str">
        <f aca="false">IF(G123="","",IF(I123="",IF(Lists!$E$4&gt;G123,"Overdue","Open - within SLA"),IF(I123&lt;=G123,"Met","Breached")))</f>
        <v/>
      </c>
      <c r="L123" s="25" t="str">
        <f aca="false">IF(E123="","",MAX(0,NETWORKDAYS(E123,IF(I123="",Lists!$E$4,I123),Lists!$L$4:$L$13)-1))</f>
        <v/>
      </c>
      <c r="M123" s="22"/>
      <c r="N123" s="22"/>
    </row>
    <row r="124" customFormat="false" ht="15" hidden="false" customHeight="false" outlineLevel="0" collapsed="false">
      <c r="A124" s="22"/>
      <c r="B124" s="22"/>
      <c r="C124" s="22"/>
      <c r="D124" s="23" t="str">
        <f aca="false">IF(C124="","",IFERROR(INDEX(Employees!$B$5:$B$200,MATCH(C124,Employees!$A$5:$A$200,0)),"ID not found"))</f>
        <v/>
      </c>
      <c r="E124" s="24"/>
      <c r="F124" s="25" t="str">
        <f aca="false">IF(B124="","",IFERROR(INDEX(Lists!$B$4:$B$10,MATCH(B124,Lists!$A$4:$A$10,0)),""))</f>
        <v/>
      </c>
      <c r="G124" s="26" t="str">
        <f aca="false">IF(OR(E124="",F124=""),"",WORKDAY(E124,F124,Lists!$L$4:$L$13))</f>
        <v/>
      </c>
      <c r="H124" s="22"/>
      <c r="I124" s="24"/>
      <c r="J124" s="25" t="str">
        <f aca="false">IF(B124="","",IF(I124="","Open","Closed"))</f>
        <v/>
      </c>
      <c r="K124" s="23" t="str">
        <f aca="false">IF(G124="","",IF(I124="",IF(Lists!$E$4&gt;G124,"Overdue","Open - within SLA"),IF(I124&lt;=G124,"Met","Breached")))</f>
        <v/>
      </c>
      <c r="L124" s="25" t="str">
        <f aca="false">IF(E124="","",MAX(0,NETWORKDAYS(E124,IF(I124="",Lists!$E$4,I124),Lists!$L$4:$L$13)-1))</f>
        <v/>
      </c>
      <c r="M124" s="22"/>
      <c r="N124" s="22"/>
    </row>
    <row r="125" customFormat="false" ht="15" hidden="false" customHeight="false" outlineLevel="0" collapsed="false">
      <c r="A125" s="22"/>
      <c r="B125" s="22"/>
      <c r="C125" s="22"/>
      <c r="D125" s="23" t="str">
        <f aca="false">IF(C125="","",IFERROR(INDEX(Employees!$B$5:$B$200,MATCH(C125,Employees!$A$5:$A$200,0)),"ID not found"))</f>
        <v/>
      </c>
      <c r="E125" s="24"/>
      <c r="F125" s="25" t="str">
        <f aca="false">IF(B125="","",IFERROR(INDEX(Lists!$B$4:$B$10,MATCH(B125,Lists!$A$4:$A$10,0)),""))</f>
        <v/>
      </c>
      <c r="G125" s="26" t="str">
        <f aca="false">IF(OR(E125="",F125=""),"",WORKDAY(E125,F125,Lists!$L$4:$L$13))</f>
        <v/>
      </c>
      <c r="H125" s="22"/>
      <c r="I125" s="24"/>
      <c r="J125" s="25" t="str">
        <f aca="false">IF(B125="","",IF(I125="","Open","Closed"))</f>
        <v/>
      </c>
      <c r="K125" s="23" t="str">
        <f aca="false">IF(G125="","",IF(I125="",IF(Lists!$E$4&gt;G125,"Overdue","Open - within SLA"),IF(I125&lt;=G125,"Met","Breached")))</f>
        <v/>
      </c>
      <c r="L125" s="25" t="str">
        <f aca="false">IF(E125="","",MAX(0,NETWORKDAYS(E125,IF(I125="",Lists!$E$4,I125),Lists!$L$4:$L$13)-1))</f>
        <v/>
      </c>
      <c r="M125" s="22"/>
      <c r="N125" s="22"/>
    </row>
    <row r="126" customFormat="false" ht="15" hidden="false" customHeight="false" outlineLevel="0" collapsed="false">
      <c r="A126" s="22"/>
      <c r="B126" s="22"/>
      <c r="C126" s="22"/>
      <c r="D126" s="23" t="str">
        <f aca="false">IF(C126="","",IFERROR(INDEX(Employees!$B$5:$B$200,MATCH(C126,Employees!$A$5:$A$200,0)),"ID not found"))</f>
        <v/>
      </c>
      <c r="E126" s="24"/>
      <c r="F126" s="25" t="str">
        <f aca="false">IF(B126="","",IFERROR(INDEX(Lists!$B$4:$B$10,MATCH(B126,Lists!$A$4:$A$10,0)),""))</f>
        <v/>
      </c>
      <c r="G126" s="26" t="str">
        <f aca="false">IF(OR(E126="",F126=""),"",WORKDAY(E126,F126,Lists!$L$4:$L$13))</f>
        <v/>
      </c>
      <c r="H126" s="22"/>
      <c r="I126" s="24"/>
      <c r="J126" s="25" t="str">
        <f aca="false">IF(B126="","",IF(I126="","Open","Closed"))</f>
        <v/>
      </c>
      <c r="K126" s="23" t="str">
        <f aca="false">IF(G126="","",IF(I126="",IF(Lists!$E$4&gt;G126,"Overdue","Open - within SLA"),IF(I126&lt;=G126,"Met","Breached")))</f>
        <v/>
      </c>
      <c r="L126" s="25" t="str">
        <f aca="false">IF(E126="","",MAX(0,NETWORKDAYS(E126,IF(I126="",Lists!$E$4,I126),Lists!$L$4:$L$13)-1))</f>
        <v/>
      </c>
      <c r="M126" s="22"/>
      <c r="N126" s="22"/>
    </row>
    <row r="127" customFormat="false" ht="15" hidden="false" customHeight="false" outlineLevel="0" collapsed="false">
      <c r="A127" s="22"/>
      <c r="B127" s="22"/>
      <c r="C127" s="22"/>
      <c r="D127" s="23" t="str">
        <f aca="false">IF(C127="","",IFERROR(INDEX(Employees!$B$5:$B$200,MATCH(C127,Employees!$A$5:$A$200,0)),"ID not found"))</f>
        <v/>
      </c>
      <c r="E127" s="24"/>
      <c r="F127" s="25" t="str">
        <f aca="false">IF(B127="","",IFERROR(INDEX(Lists!$B$4:$B$10,MATCH(B127,Lists!$A$4:$A$10,0)),""))</f>
        <v/>
      </c>
      <c r="G127" s="26" t="str">
        <f aca="false">IF(OR(E127="",F127=""),"",WORKDAY(E127,F127,Lists!$L$4:$L$13))</f>
        <v/>
      </c>
      <c r="H127" s="22"/>
      <c r="I127" s="24"/>
      <c r="J127" s="25" t="str">
        <f aca="false">IF(B127="","",IF(I127="","Open","Closed"))</f>
        <v/>
      </c>
      <c r="K127" s="23" t="str">
        <f aca="false">IF(G127="","",IF(I127="",IF(Lists!$E$4&gt;G127,"Overdue","Open - within SLA"),IF(I127&lt;=G127,"Met","Breached")))</f>
        <v/>
      </c>
      <c r="L127" s="25" t="str">
        <f aca="false">IF(E127="","",MAX(0,NETWORKDAYS(E127,IF(I127="",Lists!$E$4,I127),Lists!$L$4:$L$13)-1))</f>
        <v/>
      </c>
      <c r="M127" s="22"/>
      <c r="N127" s="22"/>
    </row>
    <row r="128" customFormat="false" ht="15" hidden="false" customHeight="false" outlineLevel="0" collapsed="false">
      <c r="A128" s="22"/>
      <c r="B128" s="22"/>
      <c r="C128" s="22"/>
      <c r="D128" s="23" t="str">
        <f aca="false">IF(C128="","",IFERROR(INDEX(Employees!$B$5:$B$200,MATCH(C128,Employees!$A$5:$A$200,0)),"ID not found"))</f>
        <v/>
      </c>
      <c r="E128" s="24"/>
      <c r="F128" s="25" t="str">
        <f aca="false">IF(B128="","",IFERROR(INDEX(Lists!$B$4:$B$10,MATCH(B128,Lists!$A$4:$A$10,0)),""))</f>
        <v/>
      </c>
      <c r="G128" s="26" t="str">
        <f aca="false">IF(OR(E128="",F128=""),"",WORKDAY(E128,F128,Lists!$L$4:$L$13))</f>
        <v/>
      </c>
      <c r="H128" s="22"/>
      <c r="I128" s="24"/>
      <c r="J128" s="25" t="str">
        <f aca="false">IF(B128="","",IF(I128="","Open","Closed"))</f>
        <v/>
      </c>
      <c r="K128" s="23" t="str">
        <f aca="false">IF(G128="","",IF(I128="",IF(Lists!$E$4&gt;G128,"Overdue","Open - within SLA"),IF(I128&lt;=G128,"Met","Breached")))</f>
        <v/>
      </c>
      <c r="L128" s="25" t="str">
        <f aca="false">IF(E128="","",MAX(0,NETWORKDAYS(E128,IF(I128="",Lists!$E$4,I128),Lists!$L$4:$L$13)-1))</f>
        <v/>
      </c>
      <c r="M128" s="22"/>
      <c r="N128" s="22"/>
    </row>
    <row r="129" customFormat="false" ht="15" hidden="false" customHeight="false" outlineLevel="0" collapsed="false">
      <c r="A129" s="22"/>
      <c r="B129" s="22"/>
      <c r="C129" s="22"/>
      <c r="D129" s="23" t="str">
        <f aca="false">IF(C129="","",IFERROR(INDEX(Employees!$B$5:$B$200,MATCH(C129,Employees!$A$5:$A$200,0)),"ID not found"))</f>
        <v/>
      </c>
      <c r="E129" s="24"/>
      <c r="F129" s="25" t="str">
        <f aca="false">IF(B129="","",IFERROR(INDEX(Lists!$B$4:$B$10,MATCH(B129,Lists!$A$4:$A$10,0)),""))</f>
        <v/>
      </c>
      <c r="G129" s="26" t="str">
        <f aca="false">IF(OR(E129="",F129=""),"",WORKDAY(E129,F129,Lists!$L$4:$L$13))</f>
        <v/>
      </c>
      <c r="H129" s="22"/>
      <c r="I129" s="24"/>
      <c r="J129" s="25" t="str">
        <f aca="false">IF(B129="","",IF(I129="","Open","Closed"))</f>
        <v/>
      </c>
      <c r="K129" s="23" t="str">
        <f aca="false">IF(G129="","",IF(I129="",IF(Lists!$E$4&gt;G129,"Overdue","Open - within SLA"),IF(I129&lt;=G129,"Met","Breached")))</f>
        <v/>
      </c>
      <c r="L129" s="25" t="str">
        <f aca="false">IF(E129="","",MAX(0,NETWORKDAYS(E129,IF(I129="",Lists!$E$4,I129),Lists!$L$4:$L$13)-1))</f>
        <v/>
      </c>
      <c r="M129" s="22"/>
      <c r="N129" s="22"/>
    </row>
    <row r="130" customFormat="false" ht="15" hidden="false" customHeight="false" outlineLevel="0" collapsed="false">
      <c r="A130" s="22"/>
      <c r="B130" s="22"/>
      <c r="C130" s="22"/>
      <c r="D130" s="23" t="str">
        <f aca="false">IF(C130="","",IFERROR(INDEX(Employees!$B$5:$B$200,MATCH(C130,Employees!$A$5:$A$200,0)),"ID not found"))</f>
        <v/>
      </c>
      <c r="E130" s="24"/>
      <c r="F130" s="25" t="str">
        <f aca="false">IF(B130="","",IFERROR(INDEX(Lists!$B$4:$B$10,MATCH(B130,Lists!$A$4:$A$10,0)),""))</f>
        <v/>
      </c>
      <c r="G130" s="26" t="str">
        <f aca="false">IF(OR(E130="",F130=""),"",WORKDAY(E130,F130,Lists!$L$4:$L$13))</f>
        <v/>
      </c>
      <c r="H130" s="22"/>
      <c r="I130" s="24"/>
      <c r="J130" s="25" t="str">
        <f aca="false">IF(B130="","",IF(I130="","Open","Closed"))</f>
        <v/>
      </c>
      <c r="K130" s="23" t="str">
        <f aca="false">IF(G130="","",IF(I130="",IF(Lists!$E$4&gt;G130,"Overdue","Open - within SLA"),IF(I130&lt;=G130,"Met","Breached")))</f>
        <v/>
      </c>
      <c r="L130" s="25" t="str">
        <f aca="false">IF(E130="","",MAX(0,NETWORKDAYS(E130,IF(I130="",Lists!$E$4,I130),Lists!$L$4:$L$13)-1))</f>
        <v/>
      </c>
      <c r="M130" s="22"/>
      <c r="N130" s="22"/>
    </row>
    <row r="131" customFormat="false" ht="15" hidden="false" customHeight="false" outlineLevel="0" collapsed="false">
      <c r="A131" s="22"/>
      <c r="B131" s="22"/>
      <c r="C131" s="22"/>
      <c r="D131" s="23" t="str">
        <f aca="false">IF(C131="","",IFERROR(INDEX(Employees!$B$5:$B$200,MATCH(C131,Employees!$A$5:$A$200,0)),"ID not found"))</f>
        <v/>
      </c>
      <c r="E131" s="24"/>
      <c r="F131" s="25" t="str">
        <f aca="false">IF(B131="","",IFERROR(INDEX(Lists!$B$4:$B$10,MATCH(B131,Lists!$A$4:$A$10,0)),""))</f>
        <v/>
      </c>
      <c r="G131" s="26" t="str">
        <f aca="false">IF(OR(E131="",F131=""),"",WORKDAY(E131,F131,Lists!$L$4:$L$13))</f>
        <v/>
      </c>
      <c r="H131" s="22"/>
      <c r="I131" s="24"/>
      <c r="J131" s="25" t="str">
        <f aca="false">IF(B131="","",IF(I131="","Open","Closed"))</f>
        <v/>
      </c>
      <c r="K131" s="23" t="str">
        <f aca="false">IF(G131="","",IF(I131="",IF(Lists!$E$4&gt;G131,"Overdue","Open - within SLA"),IF(I131&lt;=G131,"Met","Breached")))</f>
        <v/>
      </c>
      <c r="L131" s="25" t="str">
        <f aca="false">IF(E131="","",MAX(0,NETWORKDAYS(E131,IF(I131="",Lists!$E$4,I131),Lists!$L$4:$L$13)-1))</f>
        <v/>
      </c>
      <c r="M131" s="22"/>
      <c r="N131" s="22"/>
    </row>
    <row r="132" customFormat="false" ht="15" hidden="false" customHeight="false" outlineLevel="0" collapsed="false">
      <c r="A132" s="22"/>
      <c r="B132" s="22"/>
      <c r="C132" s="22"/>
      <c r="D132" s="23" t="str">
        <f aca="false">IF(C132="","",IFERROR(INDEX(Employees!$B$5:$B$200,MATCH(C132,Employees!$A$5:$A$200,0)),"ID not found"))</f>
        <v/>
      </c>
      <c r="E132" s="24"/>
      <c r="F132" s="25" t="str">
        <f aca="false">IF(B132="","",IFERROR(INDEX(Lists!$B$4:$B$10,MATCH(B132,Lists!$A$4:$A$10,0)),""))</f>
        <v/>
      </c>
      <c r="G132" s="26" t="str">
        <f aca="false">IF(OR(E132="",F132=""),"",WORKDAY(E132,F132,Lists!$L$4:$L$13))</f>
        <v/>
      </c>
      <c r="H132" s="22"/>
      <c r="I132" s="24"/>
      <c r="J132" s="25" t="str">
        <f aca="false">IF(B132="","",IF(I132="","Open","Closed"))</f>
        <v/>
      </c>
      <c r="K132" s="23" t="str">
        <f aca="false">IF(G132="","",IF(I132="",IF(Lists!$E$4&gt;G132,"Overdue","Open - within SLA"),IF(I132&lt;=G132,"Met","Breached")))</f>
        <v/>
      </c>
      <c r="L132" s="25" t="str">
        <f aca="false">IF(E132="","",MAX(0,NETWORKDAYS(E132,IF(I132="",Lists!$E$4,I132),Lists!$L$4:$L$13)-1))</f>
        <v/>
      </c>
      <c r="M132" s="22"/>
      <c r="N132" s="22"/>
    </row>
    <row r="133" customFormat="false" ht="15" hidden="false" customHeight="false" outlineLevel="0" collapsed="false">
      <c r="A133" s="22"/>
      <c r="B133" s="22"/>
      <c r="C133" s="22"/>
      <c r="D133" s="23" t="str">
        <f aca="false">IF(C133="","",IFERROR(INDEX(Employees!$B$5:$B$200,MATCH(C133,Employees!$A$5:$A$200,0)),"ID not found"))</f>
        <v/>
      </c>
      <c r="E133" s="24"/>
      <c r="F133" s="25" t="str">
        <f aca="false">IF(B133="","",IFERROR(INDEX(Lists!$B$4:$B$10,MATCH(B133,Lists!$A$4:$A$10,0)),""))</f>
        <v/>
      </c>
      <c r="G133" s="26" t="str">
        <f aca="false">IF(OR(E133="",F133=""),"",WORKDAY(E133,F133,Lists!$L$4:$L$13))</f>
        <v/>
      </c>
      <c r="H133" s="22"/>
      <c r="I133" s="24"/>
      <c r="J133" s="25" t="str">
        <f aca="false">IF(B133="","",IF(I133="","Open","Closed"))</f>
        <v/>
      </c>
      <c r="K133" s="23" t="str">
        <f aca="false">IF(G133="","",IF(I133="",IF(Lists!$E$4&gt;G133,"Overdue","Open - within SLA"),IF(I133&lt;=G133,"Met","Breached")))</f>
        <v/>
      </c>
      <c r="L133" s="25" t="str">
        <f aca="false">IF(E133="","",MAX(0,NETWORKDAYS(E133,IF(I133="",Lists!$E$4,I133),Lists!$L$4:$L$13)-1))</f>
        <v/>
      </c>
      <c r="M133" s="22"/>
      <c r="N133" s="22"/>
    </row>
    <row r="134" customFormat="false" ht="15" hidden="false" customHeight="false" outlineLevel="0" collapsed="false">
      <c r="A134" s="22"/>
      <c r="B134" s="22"/>
      <c r="C134" s="22"/>
      <c r="D134" s="23" t="str">
        <f aca="false">IF(C134="","",IFERROR(INDEX(Employees!$B$5:$B$200,MATCH(C134,Employees!$A$5:$A$200,0)),"ID not found"))</f>
        <v/>
      </c>
      <c r="E134" s="24"/>
      <c r="F134" s="25" t="str">
        <f aca="false">IF(B134="","",IFERROR(INDEX(Lists!$B$4:$B$10,MATCH(B134,Lists!$A$4:$A$10,0)),""))</f>
        <v/>
      </c>
      <c r="G134" s="26" t="str">
        <f aca="false">IF(OR(E134="",F134=""),"",WORKDAY(E134,F134,Lists!$L$4:$L$13))</f>
        <v/>
      </c>
      <c r="H134" s="22"/>
      <c r="I134" s="24"/>
      <c r="J134" s="25" t="str">
        <f aca="false">IF(B134="","",IF(I134="","Open","Closed"))</f>
        <v/>
      </c>
      <c r="K134" s="23" t="str">
        <f aca="false">IF(G134="","",IF(I134="",IF(Lists!$E$4&gt;G134,"Overdue","Open - within SLA"),IF(I134&lt;=G134,"Met","Breached")))</f>
        <v/>
      </c>
      <c r="L134" s="25" t="str">
        <f aca="false">IF(E134="","",MAX(0,NETWORKDAYS(E134,IF(I134="",Lists!$E$4,I134),Lists!$L$4:$L$13)-1))</f>
        <v/>
      </c>
      <c r="M134" s="22"/>
      <c r="N134" s="22"/>
    </row>
    <row r="135" customFormat="false" ht="15" hidden="false" customHeight="false" outlineLevel="0" collapsed="false">
      <c r="A135" s="22"/>
      <c r="B135" s="22"/>
      <c r="C135" s="22"/>
      <c r="D135" s="23" t="str">
        <f aca="false">IF(C135="","",IFERROR(INDEX(Employees!$B$5:$B$200,MATCH(C135,Employees!$A$5:$A$200,0)),"ID not found"))</f>
        <v/>
      </c>
      <c r="E135" s="24"/>
      <c r="F135" s="25" t="str">
        <f aca="false">IF(B135="","",IFERROR(INDEX(Lists!$B$4:$B$10,MATCH(B135,Lists!$A$4:$A$10,0)),""))</f>
        <v/>
      </c>
      <c r="G135" s="26" t="str">
        <f aca="false">IF(OR(E135="",F135=""),"",WORKDAY(E135,F135,Lists!$L$4:$L$13))</f>
        <v/>
      </c>
      <c r="H135" s="22"/>
      <c r="I135" s="24"/>
      <c r="J135" s="25" t="str">
        <f aca="false">IF(B135="","",IF(I135="","Open","Closed"))</f>
        <v/>
      </c>
      <c r="K135" s="23" t="str">
        <f aca="false">IF(G135="","",IF(I135="",IF(Lists!$E$4&gt;G135,"Overdue","Open - within SLA"),IF(I135&lt;=G135,"Met","Breached")))</f>
        <v/>
      </c>
      <c r="L135" s="25" t="str">
        <f aca="false">IF(E135="","",MAX(0,NETWORKDAYS(E135,IF(I135="",Lists!$E$4,I135),Lists!$L$4:$L$13)-1))</f>
        <v/>
      </c>
      <c r="M135" s="22"/>
      <c r="N135" s="22"/>
    </row>
    <row r="136" customFormat="false" ht="15" hidden="false" customHeight="false" outlineLevel="0" collapsed="false">
      <c r="A136" s="22"/>
      <c r="B136" s="22"/>
      <c r="C136" s="22"/>
      <c r="D136" s="23" t="str">
        <f aca="false">IF(C136="","",IFERROR(INDEX(Employees!$B$5:$B$200,MATCH(C136,Employees!$A$5:$A$200,0)),"ID not found"))</f>
        <v/>
      </c>
      <c r="E136" s="24"/>
      <c r="F136" s="25" t="str">
        <f aca="false">IF(B136="","",IFERROR(INDEX(Lists!$B$4:$B$10,MATCH(B136,Lists!$A$4:$A$10,0)),""))</f>
        <v/>
      </c>
      <c r="G136" s="26" t="str">
        <f aca="false">IF(OR(E136="",F136=""),"",WORKDAY(E136,F136,Lists!$L$4:$L$13))</f>
        <v/>
      </c>
      <c r="H136" s="22"/>
      <c r="I136" s="24"/>
      <c r="J136" s="25" t="str">
        <f aca="false">IF(B136="","",IF(I136="","Open","Closed"))</f>
        <v/>
      </c>
      <c r="K136" s="23" t="str">
        <f aca="false">IF(G136="","",IF(I136="",IF(Lists!$E$4&gt;G136,"Overdue","Open - within SLA"),IF(I136&lt;=G136,"Met","Breached")))</f>
        <v/>
      </c>
      <c r="L136" s="25" t="str">
        <f aca="false">IF(E136="","",MAX(0,NETWORKDAYS(E136,IF(I136="",Lists!$E$4,I136),Lists!$L$4:$L$13)-1))</f>
        <v/>
      </c>
      <c r="M136" s="22"/>
      <c r="N136" s="22"/>
    </row>
    <row r="137" customFormat="false" ht="15" hidden="false" customHeight="false" outlineLevel="0" collapsed="false">
      <c r="A137" s="22"/>
      <c r="B137" s="22"/>
      <c r="C137" s="22"/>
      <c r="D137" s="23" t="str">
        <f aca="false">IF(C137="","",IFERROR(INDEX(Employees!$B$5:$B$200,MATCH(C137,Employees!$A$5:$A$200,0)),"ID not found"))</f>
        <v/>
      </c>
      <c r="E137" s="24"/>
      <c r="F137" s="25" t="str">
        <f aca="false">IF(B137="","",IFERROR(INDEX(Lists!$B$4:$B$10,MATCH(B137,Lists!$A$4:$A$10,0)),""))</f>
        <v/>
      </c>
      <c r="G137" s="26" t="str">
        <f aca="false">IF(OR(E137="",F137=""),"",WORKDAY(E137,F137,Lists!$L$4:$L$13))</f>
        <v/>
      </c>
      <c r="H137" s="22"/>
      <c r="I137" s="24"/>
      <c r="J137" s="25" t="str">
        <f aca="false">IF(B137="","",IF(I137="","Open","Closed"))</f>
        <v/>
      </c>
      <c r="K137" s="23" t="str">
        <f aca="false">IF(G137="","",IF(I137="",IF(Lists!$E$4&gt;G137,"Overdue","Open - within SLA"),IF(I137&lt;=G137,"Met","Breached")))</f>
        <v/>
      </c>
      <c r="L137" s="25" t="str">
        <f aca="false">IF(E137="","",MAX(0,NETWORKDAYS(E137,IF(I137="",Lists!$E$4,I137),Lists!$L$4:$L$13)-1))</f>
        <v/>
      </c>
      <c r="M137" s="22"/>
      <c r="N137" s="22"/>
    </row>
    <row r="138" customFormat="false" ht="15" hidden="false" customHeight="false" outlineLevel="0" collapsed="false">
      <c r="A138" s="22"/>
      <c r="B138" s="22"/>
      <c r="C138" s="22"/>
      <c r="D138" s="23" t="str">
        <f aca="false">IF(C138="","",IFERROR(INDEX(Employees!$B$5:$B$200,MATCH(C138,Employees!$A$5:$A$200,0)),"ID not found"))</f>
        <v/>
      </c>
      <c r="E138" s="24"/>
      <c r="F138" s="25" t="str">
        <f aca="false">IF(B138="","",IFERROR(INDEX(Lists!$B$4:$B$10,MATCH(B138,Lists!$A$4:$A$10,0)),""))</f>
        <v/>
      </c>
      <c r="G138" s="26" t="str">
        <f aca="false">IF(OR(E138="",F138=""),"",WORKDAY(E138,F138,Lists!$L$4:$L$13))</f>
        <v/>
      </c>
      <c r="H138" s="22"/>
      <c r="I138" s="24"/>
      <c r="J138" s="25" t="str">
        <f aca="false">IF(B138="","",IF(I138="","Open","Closed"))</f>
        <v/>
      </c>
      <c r="K138" s="23" t="str">
        <f aca="false">IF(G138="","",IF(I138="",IF(Lists!$E$4&gt;G138,"Overdue","Open - within SLA"),IF(I138&lt;=G138,"Met","Breached")))</f>
        <v/>
      </c>
      <c r="L138" s="25" t="str">
        <f aca="false">IF(E138="","",MAX(0,NETWORKDAYS(E138,IF(I138="",Lists!$E$4,I138),Lists!$L$4:$L$13)-1))</f>
        <v/>
      </c>
      <c r="M138" s="22"/>
      <c r="N138" s="22"/>
    </row>
    <row r="139" customFormat="false" ht="15" hidden="false" customHeight="false" outlineLevel="0" collapsed="false">
      <c r="A139" s="22"/>
      <c r="B139" s="22"/>
      <c r="C139" s="22"/>
      <c r="D139" s="23" t="str">
        <f aca="false">IF(C139="","",IFERROR(INDEX(Employees!$B$5:$B$200,MATCH(C139,Employees!$A$5:$A$200,0)),"ID not found"))</f>
        <v/>
      </c>
      <c r="E139" s="24"/>
      <c r="F139" s="25" t="str">
        <f aca="false">IF(B139="","",IFERROR(INDEX(Lists!$B$4:$B$10,MATCH(B139,Lists!$A$4:$A$10,0)),""))</f>
        <v/>
      </c>
      <c r="G139" s="26" t="str">
        <f aca="false">IF(OR(E139="",F139=""),"",WORKDAY(E139,F139,Lists!$L$4:$L$13))</f>
        <v/>
      </c>
      <c r="H139" s="22"/>
      <c r="I139" s="24"/>
      <c r="J139" s="25" t="str">
        <f aca="false">IF(B139="","",IF(I139="","Open","Closed"))</f>
        <v/>
      </c>
      <c r="K139" s="23" t="str">
        <f aca="false">IF(G139="","",IF(I139="",IF(Lists!$E$4&gt;G139,"Overdue","Open - within SLA"),IF(I139&lt;=G139,"Met","Breached")))</f>
        <v/>
      </c>
      <c r="L139" s="25" t="str">
        <f aca="false">IF(E139="","",MAX(0,NETWORKDAYS(E139,IF(I139="",Lists!$E$4,I139),Lists!$L$4:$L$13)-1))</f>
        <v/>
      </c>
      <c r="M139" s="22"/>
      <c r="N139" s="22"/>
    </row>
    <row r="140" customFormat="false" ht="15" hidden="false" customHeight="false" outlineLevel="0" collapsed="false">
      <c r="A140" s="22"/>
      <c r="B140" s="22"/>
      <c r="C140" s="22"/>
      <c r="D140" s="23" t="str">
        <f aca="false">IF(C140="","",IFERROR(INDEX(Employees!$B$5:$B$200,MATCH(C140,Employees!$A$5:$A$200,0)),"ID not found"))</f>
        <v/>
      </c>
      <c r="E140" s="24"/>
      <c r="F140" s="25" t="str">
        <f aca="false">IF(B140="","",IFERROR(INDEX(Lists!$B$4:$B$10,MATCH(B140,Lists!$A$4:$A$10,0)),""))</f>
        <v/>
      </c>
      <c r="G140" s="26" t="str">
        <f aca="false">IF(OR(E140="",F140=""),"",WORKDAY(E140,F140,Lists!$L$4:$L$13))</f>
        <v/>
      </c>
      <c r="H140" s="22"/>
      <c r="I140" s="24"/>
      <c r="J140" s="25" t="str">
        <f aca="false">IF(B140="","",IF(I140="","Open","Closed"))</f>
        <v/>
      </c>
      <c r="K140" s="23" t="str">
        <f aca="false">IF(G140="","",IF(I140="",IF(Lists!$E$4&gt;G140,"Overdue","Open - within SLA"),IF(I140&lt;=G140,"Met","Breached")))</f>
        <v/>
      </c>
      <c r="L140" s="25" t="str">
        <f aca="false">IF(E140="","",MAX(0,NETWORKDAYS(E140,IF(I140="",Lists!$E$4,I140),Lists!$L$4:$L$13)-1))</f>
        <v/>
      </c>
      <c r="M140" s="22"/>
      <c r="N140" s="22"/>
    </row>
    <row r="141" customFormat="false" ht="15" hidden="false" customHeight="false" outlineLevel="0" collapsed="false">
      <c r="A141" s="22"/>
      <c r="B141" s="22"/>
      <c r="C141" s="22"/>
      <c r="D141" s="23" t="str">
        <f aca="false">IF(C141="","",IFERROR(INDEX(Employees!$B$5:$B$200,MATCH(C141,Employees!$A$5:$A$200,0)),"ID not found"))</f>
        <v/>
      </c>
      <c r="E141" s="24"/>
      <c r="F141" s="25" t="str">
        <f aca="false">IF(B141="","",IFERROR(INDEX(Lists!$B$4:$B$10,MATCH(B141,Lists!$A$4:$A$10,0)),""))</f>
        <v/>
      </c>
      <c r="G141" s="26" t="str">
        <f aca="false">IF(OR(E141="",F141=""),"",WORKDAY(E141,F141,Lists!$L$4:$L$13))</f>
        <v/>
      </c>
      <c r="H141" s="22"/>
      <c r="I141" s="24"/>
      <c r="J141" s="25" t="str">
        <f aca="false">IF(B141="","",IF(I141="","Open","Closed"))</f>
        <v/>
      </c>
      <c r="K141" s="23" t="str">
        <f aca="false">IF(G141="","",IF(I141="",IF(Lists!$E$4&gt;G141,"Overdue","Open - within SLA"),IF(I141&lt;=G141,"Met","Breached")))</f>
        <v/>
      </c>
      <c r="L141" s="25" t="str">
        <f aca="false">IF(E141="","",MAX(0,NETWORKDAYS(E141,IF(I141="",Lists!$E$4,I141),Lists!$L$4:$L$13)-1))</f>
        <v/>
      </c>
      <c r="M141" s="22"/>
      <c r="N141" s="22"/>
    </row>
    <row r="142" customFormat="false" ht="15" hidden="false" customHeight="false" outlineLevel="0" collapsed="false">
      <c r="A142" s="22"/>
      <c r="B142" s="22"/>
      <c r="C142" s="22"/>
      <c r="D142" s="23" t="str">
        <f aca="false">IF(C142="","",IFERROR(INDEX(Employees!$B$5:$B$200,MATCH(C142,Employees!$A$5:$A$200,0)),"ID not found"))</f>
        <v/>
      </c>
      <c r="E142" s="24"/>
      <c r="F142" s="25" t="str">
        <f aca="false">IF(B142="","",IFERROR(INDEX(Lists!$B$4:$B$10,MATCH(B142,Lists!$A$4:$A$10,0)),""))</f>
        <v/>
      </c>
      <c r="G142" s="26" t="str">
        <f aca="false">IF(OR(E142="",F142=""),"",WORKDAY(E142,F142,Lists!$L$4:$L$13))</f>
        <v/>
      </c>
      <c r="H142" s="22"/>
      <c r="I142" s="24"/>
      <c r="J142" s="25" t="str">
        <f aca="false">IF(B142="","",IF(I142="","Open","Closed"))</f>
        <v/>
      </c>
      <c r="K142" s="23" t="str">
        <f aca="false">IF(G142="","",IF(I142="",IF(Lists!$E$4&gt;G142,"Overdue","Open - within SLA"),IF(I142&lt;=G142,"Met","Breached")))</f>
        <v/>
      </c>
      <c r="L142" s="25" t="str">
        <f aca="false">IF(E142="","",MAX(0,NETWORKDAYS(E142,IF(I142="",Lists!$E$4,I142),Lists!$L$4:$L$13)-1))</f>
        <v/>
      </c>
      <c r="M142" s="22"/>
      <c r="N142" s="22"/>
    </row>
    <row r="143" customFormat="false" ht="15" hidden="false" customHeight="false" outlineLevel="0" collapsed="false">
      <c r="A143" s="22"/>
      <c r="B143" s="22"/>
      <c r="C143" s="22"/>
      <c r="D143" s="23" t="str">
        <f aca="false">IF(C143="","",IFERROR(INDEX(Employees!$B$5:$B$200,MATCH(C143,Employees!$A$5:$A$200,0)),"ID not found"))</f>
        <v/>
      </c>
      <c r="E143" s="24"/>
      <c r="F143" s="25" t="str">
        <f aca="false">IF(B143="","",IFERROR(INDEX(Lists!$B$4:$B$10,MATCH(B143,Lists!$A$4:$A$10,0)),""))</f>
        <v/>
      </c>
      <c r="G143" s="26" t="str">
        <f aca="false">IF(OR(E143="",F143=""),"",WORKDAY(E143,F143,Lists!$L$4:$L$13))</f>
        <v/>
      </c>
      <c r="H143" s="22"/>
      <c r="I143" s="24"/>
      <c r="J143" s="25" t="str">
        <f aca="false">IF(B143="","",IF(I143="","Open","Closed"))</f>
        <v/>
      </c>
      <c r="K143" s="23" t="str">
        <f aca="false">IF(G143="","",IF(I143="",IF(Lists!$E$4&gt;G143,"Overdue","Open - within SLA"),IF(I143&lt;=G143,"Met","Breached")))</f>
        <v/>
      </c>
      <c r="L143" s="25" t="str">
        <f aca="false">IF(E143="","",MAX(0,NETWORKDAYS(E143,IF(I143="",Lists!$E$4,I143),Lists!$L$4:$L$13)-1))</f>
        <v/>
      </c>
      <c r="M143" s="22"/>
      <c r="N143" s="22"/>
    </row>
    <row r="144" customFormat="false" ht="15" hidden="false" customHeight="false" outlineLevel="0" collapsed="false">
      <c r="A144" s="22"/>
      <c r="B144" s="22"/>
      <c r="C144" s="22"/>
      <c r="D144" s="23" t="str">
        <f aca="false">IF(C144="","",IFERROR(INDEX(Employees!$B$5:$B$200,MATCH(C144,Employees!$A$5:$A$200,0)),"ID not found"))</f>
        <v/>
      </c>
      <c r="E144" s="24"/>
      <c r="F144" s="25" t="str">
        <f aca="false">IF(B144="","",IFERROR(INDEX(Lists!$B$4:$B$10,MATCH(B144,Lists!$A$4:$A$10,0)),""))</f>
        <v/>
      </c>
      <c r="G144" s="26" t="str">
        <f aca="false">IF(OR(E144="",F144=""),"",WORKDAY(E144,F144,Lists!$L$4:$L$13))</f>
        <v/>
      </c>
      <c r="H144" s="22"/>
      <c r="I144" s="24"/>
      <c r="J144" s="25" t="str">
        <f aca="false">IF(B144="","",IF(I144="","Open","Closed"))</f>
        <v/>
      </c>
      <c r="K144" s="23" t="str">
        <f aca="false">IF(G144="","",IF(I144="",IF(Lists!$E$4&gt;G144,"Overdue","Open - within SLA"),IF(I144&lt;=G144,"Met","Breached")))</f>
        <v/>
      </c>
      <c r="L144" s="25" t="str">
        <f aca="false">IF(E144="","",MAX(0,NETWORKDAYS(E144,IF(I144="",Lists!$E$4,I144),Lists!$L$4:$L$13)-1))</f>
        <v/>
      </c>
      <c r="M144" s="22"/>
      <c r="N144" s="22"/>
    </row>
    <row r="145" customFormat="false" ht="15" hidden="false" customHeight="false" outlineLevel="0" collapsed="false">
      <c r="A145" s="22"/>
      <c r="B145" s="22"/>
      <c r="C145" s="22"/>
      <c r="D145" s="23" t="str">
        <f aca="false">IF(C145="","",IFERROR(INDEX(Employees!$B$5:$B$200,MATCH(C145,Employees!$A$5:$A$200,0)),"ID not found"))</f>
        <v/>
      </c>
      <c r="E145" s="24"/>
      <c r="F145" s="25" t="str">
        <f aca="false">IF(B145="","",IFERROR(INDEX(Lists!$B$4:$B$10,MATCH(B145,Lists!$A$4:$A$10,0)),""))</f>
        <v/>
      </c>
      <c r="G145" s="26" t="str">
        <f aca="false">IF(OR(E145="",F145=""),"",WORKDAY(E145,F145,Lists!$L$4:$L$13))</f>
        <v/>
      </c>
      <c r="H145" s="22"/>
      <c r="I145" s="24"/>
      <c r="J145" s="25" t="str">
        <f aca="false">IF(B145="","",IF(I145="","Open","Closed"))</f>
        <v/>
      </c>
      <c r="K145" s="23" t="str">
        <f aca="false">IF(G145="","",IF(I145="",IF(Lists!$E$4&gt;G145,"Overdue","Open - within SLA"),IF(I145&lt;=G145,"Met","Breached")))</f>
        <v/>
      </c>
      <c r="L145" s="25" t="str">
        <f aca="false">IF(E145="","",MAX(0,NETWORKDAYS(E145,IF(I145="",Lists!$E$4,I145),Lists!$L$4:$L$13)-1))</f>
        <v/>
      </c>
      <c r="M145" s="22"/>
      <c r="N145" s="22"/>
    </row>
    <row r="146" customFormat="false" ht="15" hidden="false" customHeight="false" outlineLevel="0" collapsed="false">
      <c r="A146" s="22"/>
      <c r="B146" s="22"/>
      <c r="C146" s="22"/>
      <c r="D146" s="23" t="str">
        <f aca="false">IF(C146="","",IFERROR(INDEX(Employees!$B$5:$B$200,MATCH(C146,Employees!$A$5:$A$200,0)),"ID not found"))</f>
        <v/>
      </c>
      <c r="E146" s="24"/>
      <c r="F146" s="25" t="str">
        <f aca="false">IF(B146="","",IFERROR(INDEX(Lists!$B$4:$B$10,MATCH(B146,Lists!$A$4:$A$10,0)),""))</f>
        <v/>
      </c>
      <c r="G146" s="26" t="str">
        <f aca="false">IF(OR(E146="",F146=""),"",WORKDAY(E146,F146,Lists!$L$4:$L$13))</f>
        <v/>
      </c>
      <c r="H146" s="22"/>
      <c r="I146" s="24"/>
      <c r="J146" s="25" t="str">
        <f aca="false">IF(B146="","",IF(I146="","Open","Closed"))</f>
        <v/>
      </c>
      <c r="K146" s="23" t="str">
        <f aca="false">IF(G146="","",IF(I146="",IF(Lists!$E$4&gt;G146,"Overdue","Open - within SLA"),IF(I146&lt;=G146,"Met","Breached")))</f>
        <v/>
      </c>
      <c r="L146" s="25" t="str">
        <f aca="false">IF(E146="","",MAX(0,NETWORKDAYS(E146,IF(I146="",Lists!$E$4,I146),Lists!$L$4:$L$13)-1))</f>
        <v/>
      </c>
      <c r="M146" s="22"/>
      <c r="N146" s="22"/>
    </row>
    <row r="147" customFormat="false" ht="15" hidden="false" customHeight="false" outlineLevel="0" collapsed="false">
      <c r="A147" s="22"/>
      <c r="B147" s="22"/>
      <c r="C147" s="22"/>
      <c r="D147" s="23" t="str">
        <f aca="false">IF(C147="","",IFERROR(INDEX(Employees!$B$5:$B$200,MATCH(C147,Employees!$A$5:$A$200,0)),"ID not found"))</f>
        <v/>
      </c>
      <c r="E147" s="24"/>
      <c r="F147" s="25" t="str">
        <f aca="false">IF(B147="","",IFERROR(INDEX(Lists!$B$4:$B$10,MATCH(B147,Lists!$A$4:$A$10,0)),""))</f>
        <v/>
      </c>
      <c r="G147" s="26" t="str">
        <f aca="false">IF(OR(E147="",F147=""),"",WORKDAY(E147,F147,Lists!$L$4:$L$13))</f>
        <v/>
      </c>
      <c r="H147" s="22"/>
      <c r="I147" s="24"/>
      <c r="J147" s="25" t="str">
        <f aca="false">IF(B147="","",IF(I147="","Open","Closed"))</f>
        <v/>
      </c>
      <c r="K147" s="23" t="str">
        <f aca="false">IF(G147="","",IF(I147="",IF(Lists!$E$4&gt;G147,"Overdue","Open - within SLA"),IF(I147&lt;=G147,"Met","Breached")))</f>
        <v/>
      </c>
      <c r="L147" s="25" t="str">
        <f aca="false">IF(E147="","",MAX(0,NETWORKDAYS(E147,IF(I147="",Lists!$E$4,I147),Lists!$L$4:$L$13)-1))</f>
        <v/>
      </c>
      <c r="M147" s="22"/>
      <c r="N147" s="22"/>
    </row>
    <row r="148" customFormat="false" ht="15" hidden="false" customHeight="false" outlineLevel="0" collapsed="false">
      <c r="A148" s="22"/>
      <c r="B148" s="22"/>
      <c r="C148" s="22"/>
      <c r="D148" s="23" t="str">
        <f aca="false">IF(C148="","",IFERROR(INDEX(Employees!$B$5:$B$200,MATCH(C148,Employees!$A$5:$A$200,0)),"ID not found"))</f>
        <v/>
      </c>
      <c r="E148" s="24"/>
      <c r="F148" s="25" t="str">
        <f aca="false">IF(B148="","",IFERROR(INDEX(Lists!$B$4:$B$10,MATCH(B148,Lists!$A$4:$A$10,0)),""))</f>
        <v/>
      </c>
      <c r="G148" s="26" t="str">
        <f aca="false">IF(OR(E148="",F148=""),"",WORKDAY(E148,F148,Lists!$L$4:$L$13))</f>
        <v/>
      </c>
      <c r="H148" s="22"/>
      <c r="I148" s="24"/>
      <c r="J148" s="25" t="str">
        <f aca="false">IF(B148="","",IF(I148="","Open","Closed"))</f>
        <v/>
      </c>
      <c r="K148" s="23" t="str">
        <f aca="false">IF(G148="","",IF(I148="",IF(Lists!$E$4&gt;G148,"Overdue","Open - within SLA"),IF(I148&lt;=G148,"Met","Breached")))</f>
        <v/>
      </c>
      <c r="L148" s="25" t="str">
        <f aca="false">IF(E148="","",MAX(0,NETWORKDAYS(E148,IF(I148="",Lists!$E$4,I148),Lists!$L$4:$L$13)-1))</f>
        <v/>
      </c>
      <c r="M148" s="22"/>
      <c r="N148" s="22"/>
    </row>
    <row r="149" customFormat="false" ht="15" hidden="false" customHeight="false" outlineLevel="0" collapsed="false">
      <c r="A149" s="22"/>
      <c r="B149" s="22"/>
      <c r="C149" s="22"/>
      <c r="D149" s="23" t="str">
        <f aca="false">IF(C149="","",IFERROR(INDEX(Employees!$B$5:$B$200,MATCH(C149,Employees!$A$5:$A$200,0)),"ID not found"))</f>
        <v/>
      </c>
      <c r="E149" s="24"/>
      <c r="F149" s="25" t="str">
        <f aca="false">IF(B149="","",IFERROR(INDEX(Lists!$B$4:$B$10,MATCH(B149,Lists!$A$4:$A$10,0)),""))</f>
        <v/>
      </c>
      <c r="G149" s="26" t="str">
        <f aca="false">IF(OR(E149="",F149=""),"",WORKDAY(E149,F149,Lists!$L$4:$L$13))</f>
        <v/>
      </c>
      <c r="H149" s="22"/>
      <c r="I149" s="24"/>
      <c r="J149" s="25" t="str">
        <f aca="false">IF(B149="","",IF(I149="","Open","Closed"))</f>
        <v/>
      </c>
      <c r="K149" s="23" t="str">
        <f aca="false">IF(G149="","",IF(I149="",IF(Lists!$E$4&gt;G149,"Overdue","Open - within SLA"),IF(I149&lt;=G149,"Met","Breached")))</f>
        <v/>
      </c>
      <c r="L149" s="25" t="str">
        <f aca="false">IF(E149="","",MAX(0,NETWORKDAYS(E149,IF(I149="",Lists!$E$4,I149),Lists!$L$4:$L$13)-1))</f>
        <v/>
      </c>
      <c r="M149" s="22"/>
      <c r="N149" s="22"/>
    </row>
    <row r="150" customFormat="false" ht="15" hidden="false" customHeight="false" outlineLevel="0" collapsed="false">
      <c r="A150" s="22"/>
      <c r="B150" s="22"/>
      <c r="C150" s="22"/>
      <c r="D150" s="23" t="str">
        <f aca="false">IF(C150="","",IFERROR(INDEX(Employees!$B$5:$B$200,MATCH(C150,Employees!$A$5:$A$200,0)),"ID not found"))</f>
        <v/>
      </c>
      <c r="E150" s="24"/>
      <c r="F150" s="25" t="str">
        <f aca="false">IF(B150="","",IFERROR(INDEX(Lists!$B$4:$B$10,MATCH(B150,Lists!$A$4:$A$10,0)),""))</f>
        <v/>
      </c>
      <c r="G150" s="26" t="str">
        <f aca="false">IF(OR(E150="",F150=""),"",WORKDAY(E150,F150,Lists!$L$4:$L$13))</f>
        <v/>
      </c>
      <c r="H150" s="22"/>
      <c r="I150" s="24"/>
      <c r="J150" s="25" t="str">
        <f aca="false">IF(B150="","",IF(I150="","Open","Closed"))</f>
        <v/>
      </c>
      <c r="K150" s="23" t="str">
        <f aca="false">IF(G150="","",IF(I150="",IF(Lists!$E$4&gt;G150,"Overdue","Open - within SLA"),IF(I150&lt;=G150,"Met","Breached")))</f>
        <v/>
      </c>
      <c r="L150" s="25" t="str">
        <f aca="false">IF(E150="","",MAX(0,NETWORKDAYS(E150,IF(I150="",Lists!$E$4,I150),Lists!$L$4:$L$13)-1))</f>
        <v/>
      </c>
      <c r="M150" s="22"/>
      <c r="N150" s="22"/>
    </row>
    <row r="151" customFormat="false" ht="15" hidden="false" customHeight="false" outlineLevel="0" collapsed="false">
      <c r="A151" s="22"/>
      <c r="B151" s="22"/>
      <c r="C151" s="22"/>
      <c r="D151" s="23" t="str">
        <f aca="false">IF(C151="","",IFERROR(INDEX(Employees!$B$5:$B$200,MATCH(C151,Employees!$A$5:$A$200,0)),"ID not found"))</f>
        <v/>
      </c>
      <c r="E151" s="24"/>
      <c r="F151" s="25" t="str">
        <f aca="false">IF(B151="","",IFERROR(INDEX(Lists!$B$4:$B$10,MATCH(B151,Lists!$A$4:$A$10,0)),""))</f>
        <v/>
      </c>
      <c r="G151" s="26" t="str">
        <f aca="false">IF(OR(E151="",F151=""),"",WORKDAY(E151,F151,Lists!$L$4:$L$13))</f>
        <v/>
      </c>
      <c r="H151" s="22"/>
      <c r="I151" s="24"/>
      <c r="J151" s="25" t="str">
        <f aca="false">IF(B151="","",IF(I151="","Open","Closed"))</f>
        <v/>
      </c>
      <c r="K151" s="23" t="str">
        <f aca="false">IF(G151="","",IF(I151="",IF(Lists!$E$4&gt;G151,"Overdue","Open - within SLA"),IF(I151&lt;=G151,"Met","Breached")))</f>
        <v/>
      </c>
      <c r="L151" s="25" t="str">
        <f aca="false">IF(E151="","",MAX(0,NETWORKDAYS(E151,IF(I151="",Lists!$E$4,I151),Lists!$L$4:$L$13)-1))</f>
        <v/>
      </c>
      <c r="M151" s="22"/>
      <c r="N151" s="22"/>
    </row>
    <row r="152" customFormat="false" ht="15" hidden="false" customHeight="false" outlineLevel="0" collapsed="false">
      <c r="A152" s="22"/>
      <c r="B152" s="22"/>
      <c r="C152" s="22"/>
      <c r="D152" s="23" t="str">
        <f aca="false">IF(C152="","",IFERROR(INDEX(Employees!$B$5:$B$200,MATCH(C152,Employees!$A$5:$A$200,0)),"ID not found"))</f>
        <v/>
      </c>
      <c r="E152" s="24"/>
      <c r="F152" s="25" t="str">
        <f aca="false">IF(B152="","",IFERROR(INDEX(Lists!$B$4:$B$10,MATCH(B152,Lists!$A$4:$A$10,0)),""))</f>
        <v/>
      </c>
      <c r="G152" s="26" t="str">
        <f aca="false">IF(OR(E152="",F152=""),"",WORKDAY(E152,F152,Lists!$L$4:$L$13))</f>
        <v/>
      </c>
      <c r="H152" s="22"/>
      <c r="I152" s="24"/>
      <c r="J152" s="25" t="str">
        <f aca="false">IF(B152="","",IF(I152="","Open","Closed"))</f>
        <v/>
      </c>
      <c r="K152" s="23" t="str">
        <f aca="false">IF(G152="","",IF(I152="",IF(Lists!$E$4&gt;G152,"Overdue","Open - within SLA"),IF(I152&lt;=G152,"Met","Breached")))</f>
        <v/>
      </c>
      <c r="L152" s="25" t="str">
        <f aca="false">IF(E152="","",MAX(0,NETWORKDAYS(E152,IF(I152="",Lists!$E$4,I152),Lists!$L$4:$L$13)-1))</f>
        <v/>
      </c>
      <c r="M152" s="22"/>
      <c r="N152" s="22"/>
    </row>
    <row r="153" customFormat="false" ht="15" hidden="false" customHeight="false" outlineLevel="0" collapsed="false">
      <c r="A153" s="22"/>
      <c r="B153" s="22"/>
      <c r="C153" s="22"/>
      <c r="D153" s="23" t="str">
        <f aca="false">IF(C153="","",IFERROR(INDEX(Employees!$B$5:$B$200,MATCH(C153,Employees!$A$5:$A$200,0)),"ID not found"))</f>
        <v/>
      </c>
      <c r="E153" s="24"/>
      <c r="F153" s="25" t="str">
        <f aca="false">IF(B153="","",IFERROR(INDEX(Lists!$B$4:$B$10,MATCH(B153,Lists!$A$4:$A$10,0)),""))</f>
        <v/>
      </c>
      <c r="G153" s="26" t="str">
        <f aca="false">IF(OR(E153="",F153=""),"",WORKDAY(E153,F153,Lists!$L$4:$L$13))</f>
        <v/>
      </c>
      <c r="H153" s="22"/>
      <c r="I153" s="24"/>
      <c r="J153" s="25" t="str">
        <f aca="false">IF(B153="","",IF(I153="","Open","Closed"))</f>
        <v/>
      </c>
      <c r="K153" s="23" t="str">
        <f aca="false">IF(G153="","",IF(I153="",IF(Lists!$E$4&gt;G153,"Overdue","Open - within SLA"),IF(I153&lt;=G153,"Met","Breached")))</f>
        <v/>
      </c>
      <c r="L153" s="25" t="str">
        <f aca="false">IF(E153="","",MAX(0,NETWORKDAYS(E153,IF(I153="",Lists!$E$4,I153),Lists!$L$4:$L$13)-1))</f>
        <v/>
      </c>
      <c r="M153" s="22"/>
      <c r="N153" s="22"/>
    </row>
    <row r="154" customFormat="false" ht="15" hidden="false" customHeight="false" outlineLevel="0" collapsed="false">
      <c r="A154" s="22"/>
      <c r="B154" s="22"/>
      <c r="C154" s="22"/>
      <c r="D154" s="23" t="str">
        <f aca="false">IF(C154="","",IFERROR(INDEX(Employees!$B$5:$B$200,MATCH(C154,Employees!$A$5:$A$200,0)),"ID not found"))</f>
        <v/>
      </c>
      <c r="E154" s="24"/>
      <c r="F154" s="25" t="str">
        <f aca="false">IF(B154="","",IFERROR(INDEX(Lists!$B$4:$B$10,MATCH(B154,Lists!$A$4:$A$10,0)),""))</f>
        <v/>
      </c>
      <c r="G154" s="26" t="str">
        <f aca="false">IF(OR(E154="",F154=""),"",WORKDAY(E154,F154,Lists!$L$4:$L$13))</f>
        <v/>
      </c>
      <c r="H154" s="22"/>
      <c r="I154" s="24"/>
      <c r="J154" s="25" t="str">
        <f aca="false">IF(B154="","",IF(I154="","Open","Closed"))</f>
        <v/>
      </c>
      <c r="K154" s="23" t="str">
        <f aca="false">IF(G154="","",IF(I154="",IF(Lists!$E$4&gt;G154,"Overdue","Open - within SLA"),IF(I154&lt;=G154,"Met","Breached")))</f>
        <v/>
      </c>
      <c r="L154" s="25" t="str">
        <f aca="false">IF(E154="","",MAX(0,NETWORKDAYS(E154,IF(I154="",Lists!$E$4,I154),Lists!$L$4:$L$13)-1))</f>
        <v/>
      </c>
      <c r="M154" s="22"/>
      <c r="N154" s="22"/>
    </row>
    <row r="155" customFormat="false" ht="15" hidden="false" customHeight="false" outlineLevel="0" collapsed="false">
      <c r="A155" s="22"/>
      <c r="B155" s="22"/>
      <c r="C155" s="22"/>
      <c r="D155" s="23" t="str">
        <f aca="false">IF(C155="","",IFERROR(INDEX(Employees!$B$5:$B$200,MATCH(C155,Employees!$A$5:$A$200,0)),"ID not found"))</f>
        <v/>
      </c>
      <c r="E155" s="24"/>
      <c r="F155" s="25" t="str">
        <f aca="false">IF(B155="","",IFERROR(INDEX(Lists!$B$4:$B$10,MATCH(B155,Lists!$A$4:$A$10,0)),""))</f>
        <v/>
      </c>
      <c r="G155" s="26" t="str">
        <f aca="false">IF(OR(E155="",F155=""),"",WORKDAY(E155,F155,Lists!$L$4:$L$13))</f>
        <v/>
      </c>
      <c r="H155" s="22"/>
      <c r="I155" s="24"/>
      <c r="J155" s="25" t="str">
        <f aca="false">IF(B155="","",IF(I155="","Open","Closed"))</f>
        <v/>
      </c>
      <c r="K155" s="23" t="str">
        <f aca="false">IF(G155="","",IF(I155="",IF(Lists!$E$4&gt;G155,"Overdue","Open - within SLA"),IF(I155&lt;=G155,"Met","Breached")))</f>
        <v/>
      </c>
      <c r="L155" s="25" t="str">
        <f aca="false">IF(E155="","",MAX(0,NETWORKDAYS(E155,IF(I155="",Lists!$E$4,I155),Lists!$L$4:$L$13)-1))</f>
        <v/>
      </c>
      <c r="M155" s="22"/>
      <c r="N155" s="22"/>
    </row>
    <row r="156" customFormat="false" ht="15" hidden="false" customHeight="false" outlineLevel="0" collapsed="false">
      <c r="A156" s="22"/>
      <c r="B156" s="22"/>
      <c r="C156" s="22"/>
      <c r="D156" s="23" t="str">
        <f aca="false">IF(C156="","",IFERROR(INDEX(Employees!$B$5:$B$200,MATCH(C156,Employees!$A$5:$A$200,0)),"ID not found"))</f>
        <v/>
      </c>
      <c r="E156" s="24"/>
      <c r="F156" s="25" t="str">
        <f aca="false">IF(B156="","",IFERROR(INDEX(Lists!$B$4:$B$10,MATCH(B156,Lists!$A$4:$A$10,0)),""))</f>
        <v/>
      </c>
      <c r="G156" s="26" t="str">
        <f aca="false">IF(OR(E156="",F156=""),"",WORKDAY(E156,F156,Lists!$L$4:$L$13))</f>
        <v/>
      </c>
      <c r="H156" s="22"/>
      <c r="I156" s="24"/>
      <c r="J156" s="25" t="str">
        <f aca="false">IF(B156="","",IF(I156="","Open","Closed"))</f>
        <v/>
      </c>
      <c r="K156" s="23" t="str">
        <f aca="false">IF(G156="","",IF(I156="",IF(Lists!$E$4&gt;G156,"Overdue","Open - within SLA"),IF(I156&lt;=G156,"Met","Breached")))</f>
        <v/>
      </c>
      <c r="L156" s="25" t="str">
        <f aca="false">IF(E156="","",MAX(0,NETWORKDAYS(E156,IF(I156="",Lists!$E$4,I156),Lists!$L$4:$L$13)-1))</f>
        <v/>
      </c>
      <c r="M156" s="22"/>
      <c r="N156" s="22"/>
    </row>
    <row r="157" customFormat="false" ht="15" hidden="false" customHeight="false" outlineLevel="0" collapsed="false">
      <c r="A157" s="22"/>
      <c r="B157" s="22"/>
      <c r="C157" s="22"/>
      <c r="D157" s="23" t="str">
        <f aca="false">IF(C157="","",IFERROR(INDEX(Employees!$B$5:$B$200,MATCH(C157,Employees!$A$5:$A$200,0)),"ID not found"))</f>
        <v/>
      </c>
      <c r="E157" s="24"/>
      <c r="F157" s="25" t="str">
        <f aca="false">IF(B157="","",IFERROR(INDEX(Lists!$B$4:$B$10,MATCH(B157,Lists!$A$4:$A$10,0)),""))</f>
        <v/>
      </c>
      <c r="G157" s="26" t="str">
        <f aca="false">IF(OR(E157="",F157=""),"",WORKDAY(E157,F157,Lists!$L$4:$L$13))</f>
        <v/>
      </c>
      <c r="H157" s="22"/>
      <c r="I157" s="24"/>
      <c r="J157" s="25" t="str">
        <f aca="false">IF(B157="","",IF(I157="","Open","Closed"))</f>
        <v/>
      </c>
      <c r="K157" s="23" t="str">
        <f aca="false">IF(G157="","",IF(I157="",IF(Lists!$E$4&gt;G157,"Overdue","Open - within SLA"),IF(I157&lt;=G157,"Met","Breached")))</f>
        <v/>
      </c>
      <c r="L157" s="25" t="str">
        <f aca="false">IF(E157="","",MAX(0,NETWORKDAYS(E157,IF(I157="",Lists!$E$4,I157),Lists!$L$4:$L$13)-1))</f>
        <v/>
      </c>
      <c r="M157" s="22"/>
      <c r="N157" s="22"/>
    </row>
    <row r="158" customFormat="false" ht="15" hidden="false" customHeight="false" outlineLevel="0" collapsed="false">
      <c r="A158" s="22"/>
      <c r="B158" s="22"/>
      <c r="C158" s="22"/>
      <c r="D158" s="23" t="str">
        <f aca="false">IF(C158="","",IFERROR(INDEX(Employees!$B$5:$B$200,MATCH(C158,Employees!$A$5:$A$200,0)),"ID not found"))</f>
        <v/>
      </c>
      <c r="E158" s="24"/>
      <c r="F158" s="25" t="str">
        <f aca="false">IF(B158="","",IFERROR(INDEX(Lists!$B$4:$B$10,MATCH(B158,Lists!$A$4:$A$10,0)),""))</f>
        <v/>
      </c>
      <c r="G158" s="26" t="str">
        <f aca="false">IF(OR(E158="",F158=""),"",WORKDAY(E158,F158,Lists!$L$4:$L$13))</f>
        <v/>
      </c>
      <c r="H158" s="22"/>
      <c r="I158" s="24"/>
      <c r="J158" s="25" t="str">
        <f aca="false">IF(B158="","",IF(I158="","Open","Closed"))</f>
        <v/>
      </c>
      <c r="K158" s="23" t="str">
        <f aca="false">IF(G158="","",IF(I158="",IF(Lists!$E$4&gt;G158,"Overdue","Open - within SLA"),IF(I158&lt;=G158,"Met","Breached")))</f>
        <v/>
      </c>
      <c r="L158" s="25" t="str">
        <f aca="false">IF(E158="","",MAX(0,NETWORKDAYS(E158,IF(I158="",Lists!$E$4,I158),Lists!$L$4:$L$13)-1))</f>
        <v/>
      </c>
      <c r="M158" s="22"/>
      <c r="N158" s="22"/>
    </row>
    <row r="159" customFormat="false" ht="15" hidden="false" customHeight="false" outlineLevel="0" collapsed="false">
      <c r="A159" s="22"/>
      <c r="B159" s="22"/>
      <c r="C159" s="22"/>
      <c r="D159" s="23" t="str">
        <f aca="false">IF(C159="","",IFERROR(INDEX(Employees!$B$5:$B$200,MATCH(C159,Employees!$A$5:$A$200,0)),"ID not found"))</f>
        <v/>
      </c>
      <c r="E159" s="24"/>
      <c r="F159" s="25" t="str">
        <f aca="false">IF(B159="","",IFERROR(INDEX(Lists!$B$4:$B$10,MATCH(B159,Lists!$A$4:$A$10,0)),""))</f>
        <v/>
      </c>
      <c r="G159" s="26" t="str">
        <f aca="false">IF(OR(E159="",F159=""),"",WORKDAY(E159,F159,Lists!$L$4:$L$13))</f>
        <v/>
      </c>
      <c r="H159" s="22"/>
      <c r="I159" s="24"/>
      <c r="J159" s="25" t="str">
        <f aca="false">IF(B159="","",IF(I159="","Open","Closed"))</f>
        <v/>
      </c>
      <c r="K159" s="23" t="str">
        <f aca="false">IF(G159="","",IF(I159="",IF(Lists!$E$4&gt;G159,"Overdue","Open - within SLA"),IF(I159&lt;=G159,"Met","Breached")))</f>
        <v/>
      </c>
      <c r="L159" s="25" t="str">
        <f aca="false">IF(E159="","",MAX(0,NETWORKDAYS(E159,IF(I159="",Lists!$E$4,I159),Lists!$L$4:$L$13)-1))</f>
        <v/>
      </c>
      <c r="M159" s="22"/>
      <c r="N159" s="22"/>
    </row>
    <row r="160" customFormat="false" ht="15" hidden="false" customHeight="false" outlineLevel="0" collapsed="false">
      <c r="A160" s="22"/>
      <c r="B160" s="22"/>
      <c r="C160" s="22"/>
      <c r="D160" s="23" t="str">
        <f aca="false">IF(C160="","",IFERROR(INDEX(Employees!$B$5:$B$200,MATCH(C160,Employees!$A$5:$A$200,0)),"ID not found"))</f>
        <v/>
      </c>
      <c r="E160" s="24"/>
      <c r="F160" s="25" t="str">
        <f aca="false">IF(B160="","",IFERROR(INDEX(Lists!$B$4:$B$10,MATCH(B160,Lists!$A$4:$A$10,0)),""))</f>
        <v/>
      </c>
      <c r="G160" s="26" t="str">
        <f aca="false">IF(OR(E160="",F160=""),"",WORKDAY(E160,F160,Lists!$L$4:$L$13))</f>
        <v/>
      </c>
      <c r="H160" s="22"/>
      <c r="I160" s="24"/>
      <c r="J160" s="25" t="str">
        <f aca="false">IF(B160="","",IF(I160="","Open","Closed"))</f>
        <v/>
      </c>
      <c r="K160" s="23" t="str">
        <f aca="false">IF(G160="","",IF(I160="",IF(Lists!$E$4&gt;G160,"Overdue","Open - within SLA"),IF(I160&lt;=G160,"Met","Breached")))</f>
        <v/>
      </c>
      <c r="L160" s="25" t="str">
        <f aca="false">IF(E160="","",MAX(0,NETWORKDAYS(E160,IF(I160="",Lists!$E$4,I160),Lists!$L$4:$L$13)-1))</f>
        <v/>
      </c>
      <c r="M160" s="22"/>
      <c r="N160" s="22"/>
    </row>
    <row r="161" customFormat="false" ht="15" hidden="false" customHeight="false" outlineLevel="0" collapsed="false">
      <c r="A161" s="22"/>
      <c r="B161" s="22"/>
      <c r="C161" s="22"/>
      <c r="D161" s="23" t="str">
        <f aca="false">IF(C161="","",IFERROR(INDEX(Employees!$B$5:$B$200,MATCH(C161,Employees!$A$5:$A$200,0)),"ID not found"))</f>
        <v/>
      </c>
      <c r="E161" s="24"/>
      <c r="F161" s="25" t="str">
        <f aca="false">IF(B161="","",IFERROR(INDEX(Lists!$B$4:$B$10,MATCH(B161,Lists!$A$4:$A$10,0)),""))</f>
        <v/>
      </c>
      <c r="G161" s="26" t="str">
        <f aca="false">IF(OR(E161="",F161=""),"",WORKDAY(E161,F161,Lists!$L$4:$L$13))</f>
        <v/>
      </c>
      <c r="H161" s="22"/>
      <c r="I161" s="24"/>
      <c r="J161" s="25" t="str">
        <f aca="false">IF(B161="","",IF(I161="","Open","Closed"))</f>
        <v/>
      </c>
      <c r="K161" s="23" t="str">
        <f aca="false">IF(G161="","",IF(I161="",IF(Lists!$E$4&gt;G161,"Overdue","Open - within SLA"),IF(I161&lt;=G161,"Met","Breached")))</f>
        <v/>
      </c>
      <c r="L161" s="25" t="str">
        <f aca="false">IF(E161="","",MAX(0,NETWORKDAYS(E161,IF(I161="",Lists!$E$4,I161),Lists!$L$4:$L$13)-1))</f>
        <v/>
      </c>
      <c r="M161" s="22"/>
      <c r="N161" s="22"/>
    </row>
    <row r="162" customFormat="false" ht="15" hidden="false" customHeight="false" outlineLevel="0" collapsed="false">
      <c r="A162" s="22"/>
      <c r="B162" s="22"/>
      <c r="C162" s="22"/>
      <c r="D162" s="23" t="str">
        <f aca="false">IF(C162="","",IFERROR(INDEX(Employees!$B$5:$B$200,MATCH(C162,Employees!$A$5:$A$200,0)),"ID not found"))</f>
        <v/>
      </c>
      <c r="E162" s="24"/>
      <c r="F162" s="25" t="str">
        <f aca="false">IF(B162="","",IFERROR(INDEX(Lists!$B$4:$B$10,MATCH(B162,Lists!$A$4:$A$10,0)),""))</f>
        <v/>
      </c>
      <c r="G162" s="26" t="str">
        <f aca="false">IF(OR(E162="",F162=""),"",WORKDAY(E162,F162,Lists!$L$4:$L$13))</f>
        <v/>
      </c>
      <c r="H162" s="22"/>
      <c r="I162" s="24"/>
      <c r="J162" s="25" t="str">
        <f aca="false">IF(B162="","",IF(I162="","Open","Closed"))</f>
        <v/>
      </c>
      <c r="K162" s="23" t="str">
        <f aca="false">IF(G162="","",IF(I162="",IF(Lists!$E$4&gt;G162,"Overdue","Open - within SLA"),IF(I162&lt;=G162,"Met","Breached")))</f>
        <v/>
      </c>
      <c r="L162" s="25" t="str">
        <f aca="false">IF(E162="","",MAX(0,NETWORKDAYS(E162,IF(I162="",Lists!$E$4,I162),Lists!$L$4:$L$13)-1))</f>
        <v/>
      </c>
      <c r="M162" s="22"/>
      <c r="N162" s="22"/>
    </row>
    <row r="163" customFormat="false" ht="15" hidden="false" customHeight="false" outlineLevel="0" collapsed="false">
      <c r="A163" s="22"/>
      <c r="B163" s="22"/>
      <c r="C163" s="22"/>
      <c r="D163" s="23" t="str">
        <f aca="false">IF(C163="","",IFERROR(INDEX(Employees!$B$5:$B$200,MATCH(C163,Employees!$A$5:$A$200,0)),"ID not found"))</f>
        <v/>
      </c>
      <c r="E163" s="24"/>
      <c r="F163" s="25" t="str">
        <f aca="false">IF(B163="","",IFERROR(INDEX(Lists!$B$4:$B$10,MATCH(B163,Lists!$A$4:$A$10,0)),""))</f>
        <v/>
      </c>
      <c r="G163" s="26" t="str">
        <f aca="false">IF(OR(E163="",F163=""),"",WORKDAY(E163,F163,Lists!$L$4:$L$13))</f>
        <v/>
      </c>
      <c r="H163" s="22"/>
      <c r="I163" s="24"/>
      <c r="J163" s="25" t="str">
        <f aca="false">IF(B163="","",IF(I163="","Open","Closed"))</f>
        <v/>
      </c>
      <c r="K163" s="23" t="str">
        <f aca="false">IF(G163="","",IF(I163="",IF(Lists!$E$4&gt;G163,"Overdue","Open - within SLA"),IF(I163&lt;=G163,"Met","Breached")))</f>
        <v/>
      </c>
      <c r="L163" s="25" t="str">
        <f aca="false">IF(E163="","",MAX(0,NETWORKDAYS(E163,IF(I163="",Lists!$E$4,I163),Lists!$L$4:$L$13)-1))</f>
        <v/>
      </c>
      <c r="M163" s="22"/>
      <c r="N163" s="22"/>
    </row>
    <row r="164" customFormat="false" ht="15" hidden="false" customHeight="false" outlineLevel="0" collapsed="false">
      <c r="A164" s="22"/>
      <c r="B164" s="22"/>
      <c r="C164" s="22"/>
      <c r="D164" s="23" t="str">
        <f aca="false">IF(C164="","",IFERROR(INDEX(Employees!$B$5:$B$200,MATCH(C164,Employees!$A$5:$A$200,0)),"ID not found"))</f>
        <v/>
      </c>
      <c r="E164" s="24"/>
      <c r="F164" s="25" t="str">
        <f aca="false">IF(B164="","",IFERROR(INDEX(Lists!$B$4:$B$10,MATCH(B164,Lists!$A$4:$A$10,0)),""))</f>
        <v/>
      </c>
      <c r="G164" s="26" t="str">
        <f aca="false">IF(OR(E164="",F164=""),"",WORKDAY(E164,F164,Lists!$L$4:$L$13))</f>
        <v/>
      </c>
      <c r="H164" s="22"/>
      <c r="I164" s="24"/>
      <c r="J164" s="25" t="str">
        <f aca="false">IF(B164="","",IF(I164="","Open","Closed"))</f>
        <v/>
      </c>
      <c r="K164" s="23" t="str">
        <f aca="false">IF(G164="","",IF(I164="",IF(Lists!$E$4&gt;G164,"Overdue","Open - within SLA"),IF(I164&lt;=G164,"Met","Breached")))</f>
        <v/>
      </c>
      <c r="L164" s="25" t="str">
        <f aca="false">IF(E164="","",MAX(0,NETWORKDAYS(E164,IF(I164="",Lists!$E$4,I164),Lists!$L$4:$L$13)-1))</f>
        <v/>
      </c>
      <c r="M164" s="22"/>
      <c r="N164" s="22"/>
    </row>
    <row r="165" customFormat="false" ht="15" hidden="false" customHeight="false" outlineLevel="0" collapsed="false">
      <c r="A165" s="22"/>
      <c r="B165" s="22"/>
      <c r="C165" s="22"/>
      <c r="D165" s="23" t="str">
        <f aca="false">IF(C165="","",IFERROR(INDEX(Employees!$B$5:$B$200,MATCH(C165,Employees!$A$5:$A$200,0)),"ID not found"))</f>
        <v/>
      </c>
      <c r="E165" s="24"/>
      <c r="F165" s="25" t="str">
        <f aca="false">IF(B165="","",IFERROR(INDEX(Lists!$B$4:$B$10,MATCH(B165,Lists!$A$4:$A$10,0)),""))</f>
        <v/>
      </c>
      <c r="G165" s="26" t="str">
        <f aca="false">IF(OR(E165="",F165=""),"",WORKDAY(E165,F165,Lists!$L$4:$L$13))</f>
        <v/>
      </c>
      <c r="H165" s="22"/>
      <c r="I165" s="24"/>
      <c r="J165" s="25" t="str">
        <f aca="false">IF(B165="","",IF(I165="","Open","Closed"))</f>
        <v/>
      </c>
      <c r="K165" s="23" t="str">
        <f aca="false">IF(G165="","",IF(I165="",IF(Lists!$E$4&gt;G165,"Overdue","Open - within SLA"),IF(I165&lt;=G165,"Met","Breached")))</f>
        <v/>
      </c>
      <c r="L165" s="25" t="str">
        <f aca="false">IF(E165="","",MAX(0,NETWORKDAYS(E165,IF(I165="",Lists!$E$4,I165),Lists!$L$4:$L$13)-1))</f>
        <v/>
      </c>
      <c r="M165" s="22"/>
      <c r="N165" s="22"/>
    </row>
    <row r="166" customFormat="false" ht="15" hidden="false" customHeight="false" outlineLevel="0" collapsed="false">
      <c r="A166" s="22"/>
      <c r="B166" s="22"/>
      <c r="C166" s="22"/>
      <c r="D166" s="23" t="str">
        <f aca="false">IF(C166="","",IFERROR(INDEX(Employees!$B$5:$B$200,MATCH(C166,Employees!$A$5:$A$200,0)),"ID not found"))</f>
        <v/>
      </c>
      <c r="E166" s="24"/>
      <c r="F166" s="25" t="str">
        <f aca="false">IF(B166="","",IFERROR(INDEX(Lists!$B$4:$B$10,MATCH(B166,Lists!$A$4:$A$10,0)),""))</f>
        <v/>
      </c>
      <c r="G166" s="26" t="str">
        <f aca="false">IF(OR(E166="",F166=""),"",WORKDAY(E166,F166,Lists!$L$4:$L$13))</f>
        <v/>
      </c>
      <c r="H166" s="22"/>
      <c r="I166" s="24"/>
      <c r="J166" s="25" t="str">
        <f aca="false">IF(B166="","",IF(I166="","Open","Closed"))</f>
        <v/>
      </c>
      <c r="K166" s="23" t="str">
        <f aca="false">IF(G166="","",IF(I166="",IF(Lists!$E$4&gt;G166,"Overdue","Open - within SLA"),IF(I166&lt;=G166,"Met","Breached")))</f>
        <v/>
      </c>
      <c r="L166" s="25" t="str">
        <f aca="false">IF(E166="","",MAX(0,NETWORKDAYS(E166,IF(I166="",Lists!$E$4,I166),Lists!$L$4:$L$13)-1))</f>
        <v/>
      </c>
      <c r="M166" s="22"/>
      <c r="N166" s="22"/>
    </row>
    <row r="167" customFormat="false" ht="15" hidden="false" customHeight="false" outlineLevel="0" collapsed="false">
      <c r="A167" s="22"/>
      <c r="B167" s="22"/>
      <c r="C167" s="22"/>
      <c r="D167" s="23" t="str">
        <f aca="false">IF(C167="","",IFERROR(INDEX(Employees!$B$5:$B$200,MATCH(C167,Employees!$A$5:$A$200,0)),"ID not found"))</f>
        <v/>
      </c>
      <c r="E167" s="24"/>
      <c r="F167" s="25" t="str">
        <f aca="false">IF(B167="","",IFERROR(INDEX(Lists!$B$4:$B$10,MATCH(B167,Lists!$A$4:$A$10,0)),""))</f>
        <v/>
      </c>
      <c r="G167" s="26" t="str">
        <f aca="false">IF(OR(E167="",F167=""),"",WORKDAY(E167,F167,Lists!$L$4:$L$13))</f>
        <v/>
      </c>
      <c r="H167" s="22"/>
      <c r="I167" s="24"/>
      <c r="J167" s="25" t="str">
        <f aca="false">IF(B167="","",IF(I167="","Open","Closed"))</f>
        <v/>
      </c>
      <c r="K167" s="23" t="str">
        <f aca="false">IF(G167="","",IF(I167="",IF(Lists!$E$4&gt;G167,"Overdue","Open - within SLA"),IF(I167&lt;=G167,"Met","Breached")))</f>
        <v/>
      </c>
      <c r="L167" s="25" t="str">
        <f aca="false">IF(E167="","",MAX(0,NETWORKDAYS(E167,IF(I167="",Lists!$E$4,I167),Lists!$L$4:$L$13)-1))</f>
        <v/>
      </c>
      <c r="M167" s="22"/>
      <c r="N167" s="22"/>
    </row>
    <row r="168" customFormat="false" ht="15" hidden="false" customHeight="false" outlineLevel="0" collapsed="false">
      <c r="A168" s="22"/>
      <c r="B168" s="22"/>
      <c r="C168" s="22"/>
      <c r="D168" s="23" t="str">
        <f aca="false">IF(C168="","",IFERROR(INDEX(Employees!$B$5:$B$200,MATCH(C168,Employees!$A$5:$A$200,0)),"ID not found"))</f>
        <v/>
      </c>
      <c r="E168" s="24"/>
      <c r="F168" s="25" t="str">
        <f aca="false">IF(B168="","",IFERROR(INDEX(Lists!$B$4:$B$10,MATCH(B168,Lists!$A$4:$A$10,0)),""))</f>
        <v/>
      </c>
      <c r="G168" s="26" t="str">
        <f aca="false">IF(OR(E168="",F168=""),"",WORKDAY(E168,F168,Lists!$L$4:$L$13))</f>
        <v/>
      </c>
      <c r="H168" s="22"/>
      <c r="I168" s="24"/>
      <c r="J168" s="25" t="str">
        <f aca="false">IF(B168="","",IF(I168="","Open","Closed"))</f>
        <v/>
      </c>
      <c r="K168" s="23" t="str">
        <f aca="false">IF(G168="","",IF(I168="",IF(Lists!$E$4&gt;G168,"Overdue","Open - within SLA"),IF(I168&lt;=G168,"Met","Breached")))</f>
        <v/>
      </c>
      <c r="L168" s="25" t="str">
        <f aca="false">IF(E168="","",MAX(0,NETWORKDAYS(E168,IF(I168="",Lists!$E$4,I168),Lists!$L$4:$L$13)-1))</f>
        <v/>
      </c>
      <c r="M168" s="22"/>
      <c r="N168" s="22"/>
    </row>
    <row r="169" customFormat="false" ht="15" hidden="false" customHeight="false" outlineLevel="0" collapsed="false">
      <c r="A169" s="22"/>
      <c r="B169" s="22"/>
      <c r="C169" s="22"/>
      <c r="D169" s="23" t="str">
        <f aca="false">IF(C169="","",IFERROR(INDEX(Employees!$B$5:$B$200,MATCH(C169,Employees!$A$5:$A$200,0)),"ID not found"))</f>
        <v/>
      </c>
      <c r="E169" s="24"/>
      <c r="F169" s="25" t="str">
        <f aca="false">IF(B169="","",IFERROR(INDEX(Lists!$B$4:$B$10,MATCH(B169,Lists!$A$4:$A$10,0)),""))</f>
        <v/>
      </c>
      <c r="G169" s="26" t="str">
        <f aca="false">IF(OR(E169="",F169=""),"",WORKDAY(E169,F169,Lists!$L$4:$L$13))</f>
        <v/>
      </c>
      <c r="H169" s="22"/>
      <c r="I169" s="24"/>
      <c r="J169" s="25" t="str">
        <f aca="false">IF(B169="","",IF(I169="","Open","Closed"))</f>
        <v/>
      </c>
      <c r="K169" s="23" t="str">
        <f aca="false">IF(G169="","",IF(I169="",IF(Lists!$E$4&gt;G169,"Overdue","Open - within SLA"),IF(I169&lt;=G169,"Met","Breached")))</f>
        <v/>
      </c>
      <c r="L169" s="25" t="str">
        <f aca="false">IF(E169="","",MAX(0,NETWORKDAYS(E169,IF(I169="",Lists!$E$4,I169),Lists!$L$4:$L$13)-1))</f>
        <v/>
      </c>
      <c r="M169" s="22"/>
      <c r="N169" s="22"/>
    </row>
    <row r="170" customFormat="false" ht="15" hidden="false" customHeight="false" outlineLevel="0" collapsed="false">
      <c r="A170" s="22"/>
      <c r="B170" s="22"/>
      <c r="C170" s="22"/>
      <c r="D170" s="23" t="str">
        <f aca="false">IF(C170="","",IFERROR(INDEX(Employees!$B$5:$B$200,MATCH(C170,Employees!$A$5:$A$200,0)),"ID not found"))</f>
        <v/>
      </c>
      <c r="E170" s="24"/>
      <c r="F170" s="25" t="str">
        <f aca="false">IF(B170="","",IFERROR(INDEX(Lists!$B$4:$B$10,MATCH(B170,Lists!$A$4:$A$10,0)),""))</f>
        <v/>
      </c>
      <c r="G170" s="26" t="str">
        <f aca="false">IF(OR(E170="",F170=""),"",WORKDAY(E170,F170,Lists!$L$4:$L$13))</f>
        <v/>
      </c>
      <c r="H170" s="22"/>
      <c r="I170" s="24"/>
      <c r="J170" s="25" t="str">
        <f aca="false">IF(B170="","",IF(I170="","Open","Closed"))</f>
        <v/>
      </c>
      <c r="K170" s="23" t="str">
        <f aca="false">IF(G170="","",IF(I170="",IF(Lists!$E$4&gt;G170,"Overdue","Open - within SLA"),IF(I170&lt;=G170,"Met","Breached")))</f>
        <v/>
      </c>
      <c r="L170" s="25" t="str">
        <f aca="false">IF(E170="","",MAX(0,NETWORKDAYS(E170,IF(I170="",Lists!$E$4,I170),Lists!$L$4:$L$13)-1))</f>
        <v/>
      </c>
      <c r="M170" s="22"/>
      <c r="N170" s="22"/>
    </row>
    <row r="171" customFormat="false" ht="15" hidden="false" customHeight="false" outlineLevel="0" collapsed="false">
      <c r="A171" s="22"/>
      <c r="B171" s="22"/>
      <c r="C171" s="22"/>
      <c r="D171" s="23" t="str">
        <f aca="false">IF(C171="","",IFERROR(INDEX(Employees!$B$5:$B$200,MATCH(C171,Employees!$A$5:$A$200,0)),"ID not found"))</f>
        <v/>
      </c>
      <c r="E171" s="24"/>
      <c r="F171" s="25" t="str">
        <f aca="false">IF(B171="","",IFERROR(INDEX(Lists!$B$4:$B$10,MATCH(B171,Lists!$A$4:$A$10,0)),""))</f>
        <v/>
      </c>
      <c r="G171" s="26" t="str">
        <f aca="false">IF(OR(E171="",F171=""),"",WORKDAY(E171,F171,Lists!$L$4:$L$13))</f>
        <v/>
      </c>
      <c r="H171" s="22"/>
      <c r="I171" s="24"/>
      <c r="J171" s="25" t="str">
        <f aca="false">IF(B171="","",IF(I171="","Open","Closed"))</f>
        <v/>
      </c>
      <c r="K171" s="23" t="str">
        <f aca="false">IF(G171="","",IF(I171="",IF(Lists!$E$4&gt;G171,"Overdue","Open - within SLA"),IF(I171&lt;=G171,"Met","Breached")))</f>
        <v/>
      </c>
      <c r="L171" s="25" t="str">
        <f aca="false">IF(E171="","",MAX(0,NETWORKDAYS(E171,IF(I171="",Lists!$E$4,I171),Lists!$L$4:$L$13)-1))</f>
        <v/>
      </c>
      <c r="M171" s="22"/>
      <c r="N171" s="22"/>
    </row>
    <row r="172" customFormat="false" ht="15" hidden="false" customHeight="false" outlineLevel="0" collapsed="false">
      <c r="A172" s="22"/>
      <c r="B172" s="22"/>
      <c r="C172" s="22"/>
      <c r="D172" s="23" t="str">
        <f aca="false">IF(C172="","",IFERROR(INDEX(Employees!$B$5:$B$200,MATCH(C172,Employees!$A$5:$A$200,0)),"ID not found"))</f>
        <v/>
      </c>
      <c r="E172" s="24"/>
      <c r="F172" s="25" t="str">
        <f aca="false">IF(B172="","",IFERROR(INDEX(Lists!$B$4:$B$10,MATCH(B172,Lists!$A$4:$A$10,0)),""))</f>
        <v/>
      </c>
      <c r="G172" s="26" t="str">
        <f aca="false">IF(OR(E172="",F172=""),"",WORKDAY(E172,F172,Lists!$L$4:$L$13))</f>
        <v/>
      </c>
      <c r="H172" s="22"/>
      <c r="I172" s="24"/>
      <c r="J172" s="25" t="str">
        <f aca="false">IF(B172="","",IF(I172="","Open","Closed"))</f>
        <v/>
      </c>
      <c r="K172" s="23" t="str">
        <f aca="false">IF(G172="","",IF(I172="",IF(Lists!$E$4&gt;G172,"Overdue","Open - within SLA"),IF(I172&lt;=G172,"Met","Breached")))</f>
        <v/>
      </c>
      <c r="L172" s="25" t="str">
        <f aca="false">IF(E172="","",MAX(0,NETWORKDAYS(E172,IF(I172="",Lists!$E$4,I172),Lists!$L$4:$L$13)-1))</f>
        <v/>
      </c>
      <c r="M172" s="22"/>
      <c r="N172" s="22"/>
    </row>
    <row r="173" customFormat="false" ht="15" hidden="false" customHeight="false" outlineLevel="0" collapsed="false">
      <c r="A173" s="22"/>
      <c r="B173" s="22"/>
      <c r="C173" s="22"/>
      <c r="D173" s="23" t="str">
        <f aca="false">IF(C173="","",IFERROR(INDEX(Employees!$B$5:$B$200,MATCH(C173,Employees!$A$5:$A$200,0)),"ID not found"))</f>
        <v/>
      </c>
      <c r="E173" s="24"/>
      <c r="F173" s="25" t="str">
        <f aca="false">IF(B173="","",IFERROR(INDEX(Lists!$B$4:$B$10,MATCH(B173,Lists!$A$4:$A$10,0)),""))</f>
        <v/>
      </c>
      <c r="G173" s="26" t="str">
        <f aca="false">IF(OR(E173="",F173=""),"",WORKDAY(E173,F173,Lists!$L$4:$L$13))</f>
        <v/>
      </c>
      <c r="H173" s="22"/>
      <c r="I173" s="24"/>
      <c r="J173" s="25" t="str">
        <f aca="false">IF(B173="","",IF(I173="","Open","Closed"))</f>
        <v/>
      </c>
      <c r="K173" s="23" t="str">
        <f aca="false">IF(G173="","",IF(I173="",IF(Lists!$E$4&gt;G173,"Overdue","Open - within SLA"),IF(I173&lt;=G173,"Met","Breached")))</f>
        <v/>
      </c>
      <c r="L173" s="25" t="str">
        <f aca="false">IF(E173="","",MAX(0,NETWORKDAYS(E173,IF(I173="",Lists!$E$4,I173),Lists!$L$4:$L$13)-1))</f>
        <v/>
      </c>
      <c r="M173" s="22"/>
      <c r="N173" s="22"/>
    </row>
    <row r="174" customFormat="false" ht="15" hidden="false" customHeight="false" outlineLevel="0" collapsed="false">
      <c r="A174" s="22"/>
      <c r="B174" s="22"/>
      <c r="C174" s="22"/>
      <c r="D174" s="23" t="str">
        <f aca="false">IF(C174="","",IFERROR(INDEX(Employees!$B$5:$B$200,MATCH(C174,Employees!$A$5:$A$200,0)),"ID not found"))</f>
        <v/>
      </c>
      <c r="E174" s="24"/>
      <c r="F174" s="25" t="str">
        <f aca="false">IF(B174="","",IFERROR(INDEX(Lists!$B$4:$B$10,MATCH(B174,Lists!$A$4:$A$10,0)),""))</f>
        <v/>
      </c>
      <c r="G174" s="26" t="str">
        <f aca="false">IF(OR(E174="",F174=""),"",WORKDAY(E174,F174,Lists!$L$4:$L$13))</f>
        <v/>
      </c>
      <c r="H174" s="22"/>
      <c r="I174" s="24"/>
      <c r="J174" s="25" t="str">
        <f aca="false">IF(B174="","",IF(I174="","Open","Closed"))</f>
        <v/>
      </c>
      <c r="K174" s="23" t="str">
        <f aca="false">IF(G174="","",IF(I174="",IF(Lists!$E$4&gt;G174,"Overdue","Open - within SLA"),IF(I174&lt;=G174,"Met","Breached")))</f>
        <v/>
      </c>
      <c r="L174" s="25" t="str">
        <f aca="false">IF(E174="","",MAX(0,NETWORKDAYS(E174,IF(I174="",Lists!$E$4,I174),Lists!$L$4:$L$13)-1))</f>
        <v/>
      </c>
      <c r="M174" s="22"/>
      <c r="N174" s="22"/>
    </row>
    <row r="175" customFormat="false" ht="15" hidden="false" customHeight="false" outlineLevel="0" collapsed="false">
      <c r="A175" s="22"/>
      <c r="B175" s="22"/>
      <c r="C175" s="22"/>
      <c r="D175" s="23" t="str">
        <f aca="false">IF(C175="","",IFERROR(INDEX(Employees!$B$5:$B$200,MATCH(C175,Employees!$A$5:$A$200,0)),"ID not found"))</f>
        <v/>
      </c>
      <c r="E175" s="24"/>
      <c r="F175" s="25" t="str">
        <f aca="false">IF(B175="","",IFERROR(INDEX(Lists!$B$4:$B$10,MATCH(B175,Lists!$A$4:$A$10,0)),""))</f>
        <v/>
      </c>
      <c r="G175" s="26" t="str">
        <f aca="false">IF(OR(E175="",F175=""),"",WORKDAY(E175,F175,Lists!$L$4:$L$13))</f>
        <v/>
      </c>
      <c r="H175" s="22"/>
      <c r="I175" s="24"/>
      <c r="J175" s="25" t="str">
        <f aca="false">IF(B175="","",IF(I175="","Open","Closed"))</f>
        <v/>
      </c>
      <c r="K175" s="23" t="str">
        <f aca="false">IF(G175="","",IF(I175="",IF(Lists!$E$4&gt;G175,"Overdue","Open - within SLA"),IF(I175&lt;=G175,"Met","Breached")))</f>
        <v/>
      </c>
      <c r="L175" s="25" t="str">
        <f aca="false">IF(E175="","",MAX(0,NETWORKDAYS(E175,IF(I175="",Lists!$E$4,I175),Lists!$L$4:$L$13)-1))</f>
        <v/>
      </c>
      <c r="M175" s="22"/>
      <c r="N175" s="22"/>
    </row>
    <row r="176" customFormat="false" ht="15" hidden="false" customHeight="false" outlineLevel="0" collapsed="false">
      <c r="A176" s="22"/>
      <c r="B176" s="22"/>
      <c r="C176" s="22"/>
      <c r="D176" s="23" t="str">
        <f aca="false">IF(C176="","",IFERROR(INDEX(Employees!$B$5:$B$200,MATCH(C176,Employees!$A$5:$A$200,0)),"ID not found"))</f>
        <v/>
      </c>
      <c r="E176" s="24"/>
      <c r="F176" s="25" t="str">
        <f aca="false">IF(B176="","",IFERROR(INDEX(Lists!$B$4:$B$10,MATCH(B176,Lists!$A$4:$A$10,0)),""))</f>
        <v/>
      </c>
      <c r="G176" s="26" t="str">
        <f aca="false">IF(OR(E176="",F176=""),"",WORKDAY(E176,F176,Lists!$L$4:$L$13))</f>
        <v/>
      </c>
      <c r="H176" s="22"/>
      <c r="I176" s="24"/>
      <c r="J176" s="25" t="str">
        <f aca="false">IF(B176="","",IF(I176="","Open","Closed"))</f>
        <v/>
      </c>
      <c r="K176" s="23" t="str">
        <f aca="false">IF(G176="","",IF(I176="",IF(Lists!$E$4&gt;G176,"Overdue","Open - within SLA"),IF(I176&lt;=G176,"Met","Breached")))</f>
        <v/>
      </c>
      <c r="L176" s="25" t="str">
        <f aca="false">IF(E176="","",MAX(0,NETWORKDAYS(E176,IF(I176="",Lists!$E$4,I176),Lists!$L$4:$L$13)-1))</f>
        <v/>
      </c>
      <c r="M176" s="22"/>
      <c r="N176" s="22"/>
    </row>
    <row r="177" customFormat="false" ht="15" hidden="false" customHeight="false" outlineLevel="0" collapsed="false">
      <c r="A177" s="22"/>
      <c r="B177" s="22"/>
      <c r="C177" s="22"/>
      <c r="D177" s="23" t="str">
        <f aca="false">IF(C177="","",IFERROR(INDEX(Employees!$B$5:$B$200,MATCH(C177,Employees!$A$5:$A$200,0)),"ID not found"))</f>
        <v/>
      </c>
      <c r="E177" s="24"/>
      <c r="F177" s="25" t="str">
        <f aca="false">IF(B177="","",IFERROR(INDEX(Lists!$B$4:$B$10,MATCH(B177,Lists!$A$4:$A$10,0)),""))</f>
        <v/>
      </c>
      <c r="G177" s="26" t="str">
        <f aca="false">IF(OR(E177="",F177=""),"",WORKDAY(E177,F177,Lists!$L$4:$L$13))</f>
        <v/>
      </c>
      <c r="H177" s="22"/>
      <c r="I177" s="24"/>
      <c r="J177" s="25" t="str">
        <f aca="false">IF(B177="","",IF(I177="","Open","Closed"))</f>
        <v/>
      </c>
      <c r="K177" s="23" t="str">
        <f aca="false">IF(G177="","",IF(I177="",IF(Lists!$E$4&gt;G177,"Overdue","Open - within SLA"),IF(I177&lt;=G177,"Met","Breached")))</f>
        <v/>
      </c>
      <c r="L177" s="25" t="str">
        <f aca="false">IF(E177="","",MAX(0,NETWORKDAYS(E177,IF(I177="",Lists!$E$4,I177),Lists!$L$4:$L$13)-1))</f>
        <v/>
      </c>
      <c r="M177" s="22"/>
      <c r="N177" s="22"/>
    </row>
    <row r="178" customFormat="false" ht="15" hidden="false" customHeight="false" outlineLevel="0" collapsed="false">
      <c r="A178" s="22"/>
      <c r="B178" s="22"/>
      <c r="C178" s="22"/>
      <c r="D178" s="23" t="str">
        <f aca="false">IF(C178="","",IFERROR(INDEX(Employees!$B$5:$B$200,MATCH(C178,Employees!$A$5:$A$200,0)),"ID not found"))</f>
        <v/>
      </c>
      <c r="E178" s="24"/>
      <c r="F178" s="25" t="str">
        <f aca="false">IF(B178="","",IFERROR(INDEX(Lists!$B$4:$B$10,MATCH(B178,Lists!$A$4:$A$10,0)),""))</f>
        <v/>
      </c>
      <c r="G178" s="26" t="str">
        <f aca="false">IF(OR(E178="",F178=""),"",WORKDAY(E178,F178,Lists!$L$4:$L$13))</f>
        <v/>
      </c>
      <c r="H178" s="22"/>
      <c r="I178" s="24"/>
      <c r="J178" s="25" t="str">
        <f aca="false">IF(B178="","",IF(I178="","Open","Closed"))</f>
        <v/>
      </c>
      <c r="K178" s="23" t="str">
        <f aca="false">IF(G178="","",IF(I178="",IF(Lists!$E$4&gt;G178,"Overdue","Open - within SLA"),IF(I178&lt;=G178,"Met","Breached")))</f>
        <v/>
      </c>
      <c r="L178" s="25" t="str">
        <f aca="false">IF(E178="","",MAX(0,NETWORKDAYS(E178,IF(I178="",Lists!$E$4,I178),Lists!$L$4:$L$13)-1))</f>
        <v/>
      </c>
      <c r="M178" s="22"/>
      <c r="N178" s="22"/>
    </row>
    <row r="179" customFormat="false" ht="15" hidden="false" customHeight="false" outlineLevel="0" collapsed="false">
      <c r="A179" s="22"/>
      <c r="B179" s="22"/>
      <c r="C179" s="22"/>
      <c r="D179" s="23" t="str">
        <f aca="false">IF(C179="","",IFERROR(INDEX(Employees!$B$5:$B$200,MATCH(C179,Employees!$A$5:$A$200,0)),"ID not found"))</f>
        <v/>
      </c>
      <c r="E179" s="24"/>
      <c r="F179" s="25" t="str">
        <f aca="false">IF(B179="","",IFERROR(INDEX(Lists!$B$4:$B$10,MATCH(B179,Lists!$A$4:$A$10,0)),""))</f>
        <v/>
      </c>
      <c r="G179" s="26" t="str">
        <f aca="false">IF(OR(E179="",F179=""),"",WORKDAY(E179,F179,Lists!$L$4:$L$13))</f>
        <v/>
      </c>
      <c r="H179" s="22"/>
      <c r="I179" s="24"/>
      <c r="J179" s="25" t="str">
        <f aca="false">IF(B179="","",IF(I179="","Open","Closed"))</f>
        <v/>
      </c>
      <c r="K179" s="23" t="str">
        <f aca="false">IF(G179="","",IF(I179="",IF(Lists!$E$4&gt;G179,"Overdue","Open - within SLA"),IF(I179&lt;=G179,"Met","Breached")))</f>
        <v/>
      </c>
      <c r="L179" s="25" t="str">
        <f aca="false">IF(E179="","",MAX(0,NETWORKDAYS(E179,IF(I179="",Lists!$E$4,I179),Lists!$L$4:$L$13)-1))</f>
        <v/>
      </c>
      <c r="M179" s="22"/>
      <c r="N179" s="22"/>
    </row>
    <row r="180" customFormat="false" ht="15" hidden="false" customHeight="false" outlineLevel="0" collapsed="false">
      <c r="A180" s="22"/>
      <c r="B180" s="22"/>
      <c r="C180" s="22"/>
      <c r="D180" s="23" t="str">
        <f aca="false">IF(C180="","",IFERROR(INDEX(Employees!$B$5:$B$200,MATCH(C180,Employees!$A$5:$A$200,0)),"ID not found"))</f>
        <v/>
      </c>
      <c r="E180" s="24"/>
      <c r="F180" s="25" t="str">
        <f aca="false">IF(B180="","",IFERROR(INDEX(Lists!$B$4:$B$10,MATCH(B180,Lists!$A$4:$A$10,0)),""))</f>
        <v/>
      </c>
      <c r="G180" s="26" t="str">
        <f aca="false">IF(OR(E180="",F180=""),"",WORKDAY(E180,F180,Lists!$L$4:$L$13))</f>
        <v/>
      </c>
      <c r="H180" s="22"/>
      <c r="I180" s="24"/>
      <c r="J180" s="25" t="str">
        <f aca="false">IF(B180="","",IF(I180="","Open","Closed"))</f>
        <v/>
      </c>
      <c r="K180" s="23" t="str">
        <f aca="false">IF(G180="","",IF(I180="",IF(Lists!$E$4&gt;G180,"Overdue","Open - within SLA"),IF(I180&lt;=G180,"Met","Breached")))</f>
        <v/>
      </c>
      <c r="L180" s="25" t="str">
        <f aca="false">IF(E180="","",MAX(0,NETWORKDAYS(E180,IF(I180="",Lists!$E$4,I180),Lists!$L$4:$L$13)-1))</f>
        <v/>
      </c>
      <c r="M180" s="22"/>
      <c r="N180" s="22"/>
    </row>
    <row r="181" customFormat="false" ht="15" hidden="false" customHeight="false" outlineLevel="0" collapsed="false">
      <c r="A181" s="22"/>
      <c r="B181" s="22"/>
      <c r="C181" s="22"/>
      <c r="D181" s="23" t="str">
        <f aca="false">IF(C181="","",IFERROR(INDEX(Employees!$B$5:$B$200,MATCH(C181,Employees!$A$5:$A$200,0)),"ID not found"))</f>
        <v/>
      </c>
      <c r="E181" s="24"/>
      <c r="F181" s="25" t="str">
        <f aca="false">IF(B181="","",IFERROR(INDEX(Lists!$B$4:$B$10,MATCH(B181,Lists!$A$4:$A$10,0)),""))</f>
        <v/>
      </c>
      <c r="G181" s="26" t="str">
        <f aca="false">IF(OR(E181="",F181=""),"",WORKDAY(E181,F181,Lists!$L$4:$L$13))</f>
        <v/>
      </c>
      <c r="H181" s="22"/>
      <c r="I181" s="24"/>
      <c r="J181" s="25" t="str">
        <f aca="false">IF(B181="","",IF(I181="","Open","Closed"))</f>
        <v/>
      </c>
      <c r="K181" s="23" t="str">
        <f aca="false">IF(G181="","",IF(I181="",IF(Lists!$E$4&gt;G181,"Overdue","Open - within SLA"),IF(I181&lt;=G181,"Met","Breached")))</f>
        <v/>
      </c>
      <c r="L181" s="25" t="str">
        <f aca="false">IF(E181="","",MAX(0,NETWORKDAYS(E181,IF(I181="",Lists!$E$4,I181),Lists!$L$4:$L$13)-1))</f>
        <v/>
      </c>
      <c r="M181" s="22"/>
      <c r="N181" s="22"/>
    </row>
    <row r="182" customFormat="false" ht="15" hidden="false" customHeight="false" outlineLevel="0" collapsed="false">
      <c r="A182" s="22"/>
      <c r="B182" s="22"/>
      <c r="C182" s="22"/>
      <c r="D182" s="23" t="str">
        <f aca="false">IF(C182="","",IFERROR(INDEX(Employees!$B$5:$B$200,MATCH(C182,Employees!$A$5:$A$200,0)),"ID not found"))</f>
        <v/>
      </c>
      <c r="E182" s="24"/>
      <c r="F182" s="25" t="str">
        <f aca="false">IF(B182="","",IFERROR(INDEX(Lists!$B$4:$B$10,MATCH(B182,Lists!$A$4:$A$10,0)),""))</f>
        <v/>
      </c>
      <c r="G182" s="26" t="str">
        <f aca="false">IF(OR(E182="",F182=""),"",WORKDAY(E182,F182,Lists!$L$4:$L$13))</f>
        <v/>
      </c>
      <c r="H182" s="22"/>
      <c r="I182" s="24"/>
      <c r="J182" s="25" t="str">
        <f aca="false">IF(B182="","",IF(I182="","Open","Closed"))</f>
        <v/>
      </c>
      <c r="K182" s="23" t="str">
        <f aca="false">IF(G182="","",IF(I182="",IF(Lists!$E$4&gt;G182,"Overdue","Open - within SLA"),IF(I182&lt;=G182,"Met","Breached")))</f>
        <v/>
      </c>
      <c r="L182" s="25" t="str">
        <f aca="false">IF(E182="","",MAX(0,NETWORKDAYS(E182,IF(I182="",Lists!$E$4,I182),Lists!$L$4:$L$13)-1))</f>
        <v/>
      </c>
      <c r="M182" s="22"/>
      <c r="N182" s="22"/>
    </row>
    <row r="183" customFormat="false" ht="15" hidden="false" customHeight="false" outlineLevel="0" collapsed="false">
      <c r="A183" s="22"/>
      <c r="B183" s="22"/>
      <c r="C183" s="22"/>
      <c r="D183" s="23" t="str">
        <f aca="false">IF(C183="","",IFERROR(INDEX(Employees!$B$5:$B$200,MATCH(C183,Employees!$A$5:$A$200,0)),"ID not found"))</f>
        <v/>
      </c>
      <c r="E183" s="24"/>
      <c r="F183" s="25" t="str">
        <f aca="false">IF(B183="","",IFERROR(INDEX(Lists!$B$4:$B$10,MATCH(B183,Lists!$A$4:$A$10,0)),""))</f>
        <v/>
      </c>
      <c r="G183" s="26" t="str">
        <f aca="false">IF(OR(E183="",F183=""),"",WORKDAY(E183,F183,Lists!$L$4:$L$13))</f>
        <v/>
      </c>
      <c r="H183" s="22"/>
      <c r="I183" s="24"/>
      <c r="J183" s="25" t="str">
        <f aca="false">IF(B183="","",IF(I183="","Open","Closed"))</f>
        <v/>
      </c>
      <c r="K183" s="23" t="str">
        <f aca="false">IF(G183="","",IF(I183="",IF(Lists!$E$4&gt;G183,"Overdue","Open - within SLA"),IF(I183&lt;=G183,"Met","Breached")))</f>
        <v/>
      </c>
      <c r="L183" s="25" t="str">
        <f aca="false">IF(E183="","",MAX(0,NETWORKDAYS(E183,IF(I183="",Lists!$E$4,I183),Lists!$L$4:$L$13)-1))</f>
        <v/>
      </c>
      <c r="M183" s="22"/>
      <c r="N183" s="22"/>
    </row>
    <row r="184" customFormat="false" ht="15" hidden="false" customHeight="false" outlineLevel="0" collapsed="false">
      <c r="A184" s="22"/>
      <c r="B184" s="22"/>
      <c r="C184" s="22"/>
      <c r="D184" s="23" t="str">
        <f aca="false">IF(C184="","",IFERROR(INDEX(Employees!$B$5:$B$200,MATCH(C184,Employees!$A$5:$A$200,0)),"ID not found"))</f>
        <v/>
      </c>
      <c r="E184" s="24"/>
      <c r="F184" s="25" t="str">
        <f aca="false">IF(B184="","",IFERROR(INDEX(Lists!$B$4:$B$10,MATCH(B184,Lists!$A$4:$A$10,0)),""))</f>
        <v/>
      </c>
      <c r="G184" s="26" t="str">
        <f aca="false">IF(OR(E184="",F184=""),"",WORKDAY(E184,F184,Lists!$L$4:$L$13))</f>
        <v/>
      </c>
      <c r="H184" s="22"/>
      <c r="I184" s="24"/>
      <c r="J184" s="25" t="str">
        <f aca="false">IF(B184="","",IF(I184="","Open","Closed"))</f>
        <v/>
      </c>
      <c r="K184" s="23" t="str">
        <f aca="false">IF(G184="","",IF(I184="",IF(Lists!$E$4&gt;G184,"Overdue","Open - within SLA"),IF(I184&lt;=G184,"Met","Breached")))</f>
        <v/>
      </c>
      <c r="L184" s="25" t="str">
        <f aca="false">IF(E184="","",MAX(0,NETWORKDAYS(E184,IF(I184="",Lists!$E$4,I184),Lists!$L$4:$L$13)-1))</f>
        <v/>
      </c>
      <c r="M184" s="22"/>
      <c r="N184" s="22"/>
    </row>
    <row r="185" customFormat="false" ht="15" hidden="false" customHeight="false" outlineLevel="0" collapsed="false">
      <c r="A185" s="22"/>
      <c r="B185" s="22"/>
      <c r="C185" s="22"/>
      <c r="D185" s="23" t="str">
        <f aca="false">IF(C185="","",IFERROR(INDEX(Employees!$B$5:$B$200,MATCH(C185,Employees!$A$5:$A$200,0)),"ID not found"))</f>
        <v/>
      </c>
      <c r="E185" s="24"/>
      <c r="F185" s="25" t="str">
        <f aca="false">IF(B185="","",IFERROR(INDEX(Lists!$B$4:$B$10,MATCH(B185,Lists!$A$4:$A$10,0)),""))</f>
        <v/>
      </c>
      <c r="G185" s="26" t="str">
        <f aca="false">IF(OR(E185="",F185=""),"",WORKDAY(E185,F185,Lists!$L$4:$L$13))</f>
        <v/>
      </c>
      <c r="H185" s="22"/>
      <c r="I185" s="24"/>
      <c r="J185" s="25" t="str">
        <f aca="false">IF(B185="","",IF(I185="","Open","Closed"))</f>
        <v/>
      </c>
      <c r="K185" s="23" t="str">
        <f aca="false">IF(G185="","",IF(I185="",IF(Lists!$E$4&gt;G185,"Overdue","Open - within SLA"),IF(I185&lt;=G185,"Met","Breached")))</f>
        <v/>
      </c>
      <c r="L185" s="25" t="str">
        <f aca="false">IF(E185="","",MAX(0,NETWORKDAYS(E185,IF(I185="",Lists!$E$4,I185),Lists!$L$4:$L$13)-1))</f>
        <v/>
      </c>
      <c r="M185" s="22"/>
      <c r="N185" s="22"/>
    </row>
    <row r="186" customFormat="false" ht="15" hidden="false" customHeight="false" outlineLevel="0" collapsed="false">
      <c r="A186" s="22"/>
      <c r="B186" s="22"/>
      <c r="C186" s="22"/>
      <c r="D186" s="23" t="str">
        <f aca="false">IF(C186="","",IFERROR(INDEX(Employees!$B$5:$B$200,MATCH(C186,Employees!$A$5:$A$200,0)),"ID not found"))</f>
        <v/>
      </c>
      <c r="E186" s="24"/>
      <c r="F186" s="25" t="str">
        <f aca="false">IF(B186="","",IFERROR(INDEX(Lists!$B$4:$B$10,MATCH(B186,Lists!$A$4:$A$10,0)),""))</f>
        <v/>
      </c>
      <c r="G186" s="26" t="str">
        <f aca="false">IF(OR(E186="",F186=""),"",WORKDAY(E186,F186,Lists!$L$4:$L$13))</f>
        <v/>
      </c>
      <c r="H186" s="22"/>
      <c r="I186" s="24"/>
      <c r="J186" s="25" t="str">
        <f aca="false">IF(B186="","",IF(I186="","Open","Closed"))</f>
        <v/>
      </c>
      <c r="K186" s="23" t="str">
        <f aca="false">IF(G186="","",IF(I186="",IF(Lists!$E$4&gt;G186,"Overdue","Open - within SLA"),IF(I186&lt;=G186,"Met","Breached")))</f>
        <v/>
      </c>
      <c r="L186" s="25" t="str">
        <f aca="false">IF(E186="","",MAX(0,NETWORKDAYS(E186,IF(I186="",Lists!$E$4,I186),Lists!$L$4:$L$13)-1))</f>
        <v/>
      </c>
      <c r="M186" s="22"/>
      <c r="N186" s="22"/>
    </row>
    <row r="187" customFormat="false" ht="15" hidden="false" customHeight="false" outlineLevel="0" collapsed="false">
      <c r="A187" s="22"/>
      <c r="B187" s="22"/>
      <c r="C187" s="22"/>
      <c r="D187" s="23" t="str">
        <f aca="false">IF(C187="","",IFERROR(INDEX(Employees!$B$5:$B$200,MATCH(C187,Employees!$A$5:$A$200,0)),"ID not found"))</f>
        <v/>
      </c>
      <c r="E187" s="24"/>
      <c r="F187" s="25" t="str">
        <f aca="false">IF(B187="","",IFERROR(INDEX(Lists!$B$4:$B$10,MATCH(B187,Lists!$A$4:$A$10,0)),""))</f>
        <v/>
      </c>
      <c r="G187" s="26" t="str">
        <f aca="false">IF(OR(E187="",F187=""),"",WORKDAY(E187,F187,Lists!$L$4:$L$13))</f>
        <v/>
      </c>
      <c r="H187" s="22"/>
      <c r="I187" s="24"/>
      <c r="J187" s="25" t="str">
        <f aca="false">IF(B187="","",IF(I187="","Open","Closed"))</f>
        <v/>
      </c>
      <c r="K187" s="23" t="str">
        <f aca="false">IF(G187="","",IF(I187="",IF(Lists!$E$4&gt;G187,"Overdue","Open - within SLA"),IF(I187&lt;=G187,"Met","Breached")))</f>
        <v/>
      </c>
      <c r="L187" s="25" t="str">
        <f aca="false">IF(E187="","",MAX(0,NETWORKDAYS(E187,IF(I187="",Lists!$E$4,I187),Lists!$L$4:$L$13)-1))</f>
        <v/>
      </c>
      <c r="M187" s="22"/>
      <c r="N187" s="22"/>
    </row>
    <row r="188" customFormat="false" ht="15" hidden="false" customHeight="false" outlineLevel="0" collapsed="false">
      <c r="A188" s="22"/>
      <c r="B188" s="22"/>
      <c r="C188" s="22"/>
      <c r="D188" s="23" t="str">
        <f aca="false">IF(C188="","",IFERROR(INDEX(Employees!$B$5:$B$200,MATCH(C188,Employees!$A$5:$A$200,0)),"ID not found"))</f>
        <v/>
      </c>
      <c r="E188" s="24"/>
      <c r="F188" s="25" t="str">
        <f aca="false">IF(B188="","",IFERROR(INDEX(Lists!$B$4:$B$10,MATCH(B188,Lists!$A$4:$A$10,0)),""))</f>
        <v/>
      </c>
      <c r="G188" s="26" t="str">
        <f aca="false">IF(OR(E188="",F188=""),"",WORKDAY(E188,F188,Lists!$L$4:$L$13))</f>
        <v/>
      </c>
      <c r="H188" s="22"/>
      <c r="I188" s="24"/>
      <c r="J188" s="25" t="str">
        <f aca="false">IF(B188="","",IF(I188="","Open","Closed"))</f>
        <v/>
      </c>
      <c r="K188" s="23" t="str">
        <f aca="false">IF(G188="","",IF(I188="",IF(Lists!$E$4&gt;G188,"Overdue","Open - within SLA"),IF(I188&lt;=G188,"Met","Breached")))</f>
        <v/>
      </c>
      <c r="L188" s="25" t="str">
        <f aca="false">IF(E188="","",MAX(0,NETWORKDAYS(E188,IF(I188="",Lists!$E$4,I188),Lists!$L$4:$L$13)-1))</f>
        <v/>
      </c>
      <c r="M188" s="22"/>
      <c r="N188" s="22"/>
    </row>
    <row r="189" customFormat="false" ht="15" hidden="false" customHeight="false" outlineLevel="0" collapsed="false">
      <c r="A189" s="22"/>
      <c r="B189" s="22"/>
      <c r="C189" s="22"/>
      <c r="D189" s="23" t="str">
        <f aca="false">IF(C189="","",IFERROR(INDEX(Employees!$B$5:$B$200,MATCH(C189,Employees!$A$5:$A$200,0)),"ID not found"))</f>
        <v/>
      </c>
      <c r="E189" s="24"/>
      <c r="F189" s="25" t="str">
        <f aca="false">IF(B189="","",IFERROR(INDEX(Lists!$B$4:$B$10,MATCH(B189,Lists!$A$4:$A$10,0)),""))</f>
        <v/>
      </c>
      <c r="G189" s="26" t="str">
        <f aca="false">IF(OR(E189="",F189=""),"",WORKDAY(E189,F189,Lists!$L$4:$L$13))</f>
        <v/>
      </c>
      <c r="H189" s="22"/>
      <c r="I189" s="24"/>
      <c r="J189" s="25" t="str">
        <f aca="false">IF(B189="","",IF(I189="","Open","Closed"))</f>
        <v/>
      </c>
      <c r="K189" s="23" t="str">
        <f aca="false">IF(G189="","",IF(I189="",IF(Lists!$E$4&gt;G189,"Overdue","Open - within SLA"),IF(I189&lt;=G189,"Met","Breached")))</f>
        <v/>
      </c>
      <c r="L189" s="25" t="str">
        <f aca="false">IF(E189="","",MAX(0,NETWORKDAYS(E189,IF(I189="",Lists!$E$4,I189),Lists!$L$4:$L$13)-1))</f>
        <v/>
      </c>
      <c r="M189" s="22"/>
      <c r="N189" s="22"/>
    </row>
    <row r="190" customFormat="false" ht="15" hidden="false" customHeight="false" outlineLevel="0" collapsed="false">
      <c r="A190" s="22"/>
      <c r="B190" s="22"/>
      <c r="C190" s="22"/>
      <c r="D190" s="23" t="str">
        <f aca="false">IF(C190="","",IFERROR(INDEX(Employees!$B$5:$B$200,MATCH(C190,Employees!$A$5:$A$200,0)),"ID not found"))</f>
        <v/>
      </c>
      <c r="E190" s="24"/>
      <c r="F190" s="25" t="str">
        <f aca="false">IF(B190="","",IFERROR(INDEX(Lists!$B$4:$B$10,MATCH(B190,Lists!$A$4:$A$10,0)),""))</f>
        <v/>
      </c>
      <c r="G190" s="26" t="str">
        <f aca="false">IF(OR(E190="",F190=""),"",WORKDAY(E190,F190,Lists!$L$4:$L$13))</f>
        <v/>
      </c>
      <c r="H190" s="22"/>
      <c r="I190" s="24"/>
      <c r="J190" s="25" t="str">
        <f aca="false">IF(B190="","",IF(I190="","Open","Closed"))</f>
        <v/>
      </c>
      <c r="K190" s="23" t="str">
        <f aca="false">IF(G190="","",IF(I190="",IF(Lists!$E$4&gt;G190,"Overdue","Open - within SLA"),IF(I190&lt;=G190,"Met","Breached")))</f>
        <v/>
      </c>
      <c r="L190" s="25" t="str">
        <f aca="false">IF(E190="","",MAX(0,NETWORKDAYS(E190,IF(I190="",Lists!$E$4,I190),Lists!$L$4:$L$13)-1))</f>
        <v/>
      </c>
      <c r="M190" s="22"/>
      <c r="N190" s="22"/>
    </row>
    <row r="191" customFormat="false" ht="15" hidden="false" customHeight="false" outlineLevel="0" collapsed="false">
      <c r="A191" s="22"/>
      <c r="B191" s="22"/>
      <c r="C191" s="22"/>
      <c r="D191" s="23" t="str">
        <f aca="false">IF(C191="","",IFERROR(INDEX(Employees!$B$5:$B$200,MATCH(C191,Employees!$A$5:$A$200,0)),"ID not found"))</f>
        <v/>
      </c>
      <c r="E191" s="24"/>
      <c r="F191" s="25" t="str">
        <f aca="false">IF(B191="","",IFERROR(INDEX(Lists!$B$4:$B$10,MATCH(B191,Lists!$A$4:$A$10,0)),""))</f>
        <v/>
      </c>
      <c r="G191" s="26" t="str">
        <f aca="false">IF(OR(E191="",F191=""),"",WORKDAY(E191,F191,Lists!$L$4:$L$13))</f>
        <v/>
      </c>
      <c r="H191" s="22"/>
      <c r="I191" s="24"/>
      <c r="J191" s="25" t="str">
        <f aca="false">IF(B191="","",IF(I191="","Open","Closed"))</f>
        <v/>
      </c>
      <c r="K191" s="23" t="str">
        <f aca="false">IF(G191="","",IF(I191="",IF(Lists!$E$4&gt;G191,"Overdue","Open - within SLA"),IF(I191&lt;=G191,"Met","Breached")))</f>
        <v/>
      </c>
      <c r="L191" s="25" t="str">
        <f aca="false">IF(E191="","",MAX(0,NETWORKDAYS(E191,IF(I191="",Lists!$E$4,I191),Lists!$L$4:$L$13)-1))</f>
        <v/>
      </c>
      <c r="M191" s="22"/>
      <c r="N191" s="22"/>
    </row>
    <row r="192" customFormat="false" ht="15" hidden="false" customHeight="false" outlineLevel="0" collapsed="false">
      <c r="A192" s="22"/>
      <c r="B192" s="22"/>
      <c r="C192" s="22"/>
      <c r="D192" s="23" t="str">
        <f aca="false">IF(C192="","",IFERROR(INDEX(Employees!$B$5:$B$200,MATCH(C192,Employees!$A$5:$A$200,0)),"ID not found"))</f>
        <v/>
      </c>
      <c r="E192" s="24"/>
      <c r="F192" s="25" t="str">
        <f aca="false">IF(B192="","",IFERROR(INDEX(Lists!$B$4:$B$10,MATCH(B192,Lists!$A$4:$A$10,0)),""))</f>
        <v/>
      </c>
      <c r="G192" s="26" t="str">
        <f aca="false">IF(OR(E192="",F192=""),"",WORKDAY(E192,F192,Lists!$L$4:$L$13))</f>
        <v/>
      </c>
      <c r="H192" s="22"/>
      <c r="I192" s="24"/>
      <c r="J192" s="25" t="str">
        <f aca="false">IF(B192="","",IF(I192="","Open","Closed"))</f>
        <v/>
      </c>
      <c r="K192" s="23" t="str">
        <f aca="false">IF(G192="","",IF(I192="",IF(Lists!$E$4&gt;G192,"Overdue","Open - within SLA"),IF(I192&lt;=G192,"Met","Breached")))</f>
        <v/>
      </c>
      <c r="L192" s="25" t="str">
        <f aca="false">IF(E192="","",MAX(0,NETWORKDAYS(E192,IF(I192="",Lists!$E$4,I192),Lists!$L$4:$L$13)-1))</f>
        <v/>
      </c>
      <c r="M192" s="22"/>
      <c r="N192" s="22"/>
    </row>
    <row r="193" customFormat="false" ht="15" hidden="false" customHeight="false" outlineLevel="0" collapsed="false">
      <c r="A193" s="22"/>
      <c r="B193" s="22"/>
      <c r="C193" s="22"/>
      <c r="D193" s="23" t="str">
        <f aca="false">IF(C193="","",IFERROR(INDEX(Employees!$B$5:$B$200,MATCH(C193,Employees!$A$5:$A$200,0)),"ID not found"))</f>
        <v/>
      </c>
      <c r="E193" s="24"/>
      <c r="F193" s="25" t="str">
        <f aca="false">IF(B193="","",IFERROR(INDEX(Lists!$B$4:$B$10,MATCH(B193,Lists!$A$4:$A$10,0)),""))</f>
        <v/>
      </c>
      <c r="G193" s="26" t="str">
        <f aca="false">IF(OR(E193="",F193=""),"",WORKDAY(E193,F193,Lists!$L$4:$L$13))</f>
        <v/>
      </c>
      <c r="H193" s="22"/>
      <c r="I193" s="24"/>
      <c r="J193" s="25" t="str">
        <f aca="false">IF(B193="","",IF(I193="","Open","Closed"))</f>
        <v/>
      </c>
      <c r="K193" s="23" t="str">
        <f aca="false">IF(G193="","",IF(I193="",IF(Lists!$E$4&gt;G193,"Overdue","Open - within SLA"),IF(I193&lt;=G193,"Met","Breached")))</f>
        <v/>
      </c>
      <c r="L193" s="25" t="str">
        <f aca="false">IF(E193="","",MAX(0,NETWORKDAYS(E193,IF(I193="",Lists!$E$4,I193),Lists!$L$4:$L$13)-1))</f>
        <v/>
      </c>
      <c r="M193" s="22"/>
      <c r="N193" s="22"/>
    </row>
    <row r="194" customFormat="false" ht="15" hidden="false" customHeight="false" outlineLevel="0" collapsed="false">
      <c r="A194" s="22"/>
      <c r="B194" s="22"/>
      <c r="C194" s="22"/>
      <c r="D194" s="23" t="str">
        <f aca="false">IF(C194="","",IFERROR(INDEX(Employees!$B$5:$B$200,MATCH(C194,Employees!$A$5:$A$200,0)),"ID not found"))</f>
        <v/>
      </c>
      <c r="E194" s="24"/>
      <c r="F194" s="25" t="str">
        <f aca="false">IF(B194="","",IFERROR(INDEX(Lists!$B$4:$B$10,MATCH(B194,Lists!$A$4:$A$10,0)),""))</f>
        <v/>
      </c>
      <c r="G194" s="26" t="str">
        <f aca="false">IF(OR(E194="",F194=""),"",WORKDAY(E194,F194,Lists!$L$4:$L$13))</f>
        <v/>
      </c>
      <c r="H194" s="22"/>
      <c r="I194" s="24"/>
      <c r="J194" s="25" t="str">
        <f aca="false">IF(B194="","",IF(I194="","Open","Closed"))</f>
        <v/>
      </c>
      <c r="K194" s="23" t="str">
        <f aca="false">IF(G194="","",IF(I194="",IF(Lists!$E$4&gt;G194,"Overdue","Open - within SLA"),IF(I194&lt;=G194,"Met","Breached")))</f>
        <v/>
      </c>
      <c r="L194" s="25" t="str">
        <f aca="false">IF(E194="","",MAX(0,NETWORKDAYS(E194,IF(I194="",Lists!$E$4,I194),Lists!$L$4:$L$13)-1))</f>
        <v/>
      </c>
      <c r="M194" s="22"/>
      <c r="N194" s="22"/>
    </row>
    <row r="195" customFormat="false" ht="15" hidden="false" customHeight="false" outlineLevel="0" collapsed="false">
      <c r="A195" s="22"/>
      <c r="B195" s="22"/>
      <c r="C195" s="22"/>
      <c r="D195" s="23" t="str">
        <f aca="false">IF(C195="","",IFERROR(INDEX(Employees!$B$5:$B$200,MATCH(C195,Employees!$A$5:$A$200,0)),"ID not found"))</f>
        <v/>
      </c>
      <c r="E195" s="24"/>
      <c r="F195" s="25" t="str">
        <f aca="false">IF(B195="","",IFERROR(INDEX(Lists!$B$4:$B$10,MATCH(B195,Lists!$A$4:$A$10,0)),""))</f>
        <v/>
      </c>
      <c r="G195" s="26" t="str">
        <f aca="false">IF(OR(E195="",F195=""),"",WORKDAY(E195,F195,Lists!$L$4:$L$13))</f>
        <v/>
      </c>
      <c r="H195" s="22"/>
      <c r="I195" s="24"/>
      <c r="J195" s="25" t="str">
        <f aca="false">IF(B195="","",IF(I195="","Open","Closed"))</f>
        <v/>
      </c>
      <c r="K195" s="23" t="str">
        <f aca="false">IF(G195="","",IF(I195="",IF(Lists!$E$4&gt;G195,"Overdue","Open - within SLA"),IF(I195&lt;=G195,"Met","Breached")))</f>
        <v/>
      </c>
      <c r="L195" s="25" t="str">
        <f aca="false">IF(E195="","",MAX(0,NETWORKDAYS(E195,IF(I195="",Lists!$E$4,I195),Lists!$L$4:$L$13)-1))</f>
        <v/>
      </c>
      <c r="M195" s="22"/>
      <c r="N195" s="22"/>
    </row>
    <row r="196" customFormat="false" ht="15" hidden="false" customHeight="false" outlineLevel="0" collapsed="false">
      <c r="A196" s="22"/>
      <c r="B196" s="22"/>
      <c r="C196" s="22"/>
      <c r="D196" s="23" t="str">
        <f aca="false">IF(C196="","",IFERROR(INDEX(Employees!$B$5:$B$200,MATCH(C196,Employees!$A$5:$A$200,0)),"ID not found"))</f>
        <v/>
      </c>
      <c r="E196" s="24"/>
      <c r="F196" s="25" t="str">
        <f aca="false">IF(B196="","",IFERROR(INDEX(Lists!$B$4:$B$10,MATCH(B196,Lists!$A$4:$A$10,0)),""))</f>
        <v/>
      </c>
      <c r="G196" s="26" t="str">
        <f aca="false">IF(OR(E196="",F196=""),"",WORKDAY(E196,F196,Lists!$L$4:$L$13))</f>
        <v/>
      </c>
      <c r="H196" s="22"/>
      <c r="I196" s="24"/>
      <c r="J196" s="25" t="str">
        <f aca="false">IF(B196="","",IF(I196="","Open","Closed"))</f>
        <v/>
      </c>
      <c r="K196" s="23" t="str">
        <f aca="false">IF(G196="","",IF(I196="",IF(Lists!$E$4&gt;G196,"Overdue","Open - within SLA"),IF(I196&lt;=G196,"Met","Breached")))</f>
        <v/>
      </c>
      <c r="L196" s="25" t="str">
        <f aca="false">IF(E196="","",MAX(0,NETWORKDAYS(E196,IF(I196="",Lists!$E$4,I196),Lists!$L$4:$L$13)-1))</f>
        <v/>
      </c>
      <c r="M196" s="22"/>
      <c r="N196" s="22"/>
    </row>
    <row r="197" customFormat="false" ht="15" hidden="false" customHeight="false" outlineLevel="0" collapsed="false">
      <c r="A197" s="22"/>
      <c r="B197" s="22"/>
      <c r="C197" s="22"/>
      <c r="D197" s="23" t="str">
        <f aca="false">IF(C197="","",IFERROR(INDEX(Employees!$B$5:$B$200,MATCH(C197,Employees!$A$5:$A$200,0)),"ID not found"))</f>
        <v/>
      </c>
      <c r="E197" s="24"/>
      <c r="F197" s="25" t="str">
        <f aca="false">IF(B197="","",IFERROR(INDEX(Lists!$B$4:$B$10,MATCH(B197,Lists!$A$4:$A$10,0)),""))</f>
        <v/>
      </c>
      <c r="G197" s="26" t="str">
        <f aca="false">IF(OR(E197="",F197=""),"",WORKDAY(E197,F197,Lists!$L$4:$L$13))</f>
        <v/>
      </c>
      <c r="H197" s="22"/>
      <c r="I197" s="24"/>
      <c r="J197" s="25" t="str">
        <f aca="false">IF(B197="","",IF(I197="","Open","Closed"))</f>
        <v/>
      </c>
      <c r="K197" s="23" t="str">
        <f aca="false">IF(G197="","",IF(I197="",IF(Lists!$E$4&gt;G197,"Overdue","Open - within SLA"),IF(I197&lt;=G197,"Met","Breached")))</f>
        <v/>
      </c>
      <c r="L197" s="25" t="str">
        <f aca="false">IF(E197="","",MAX(0,NETWORKDAYS(E197,IF(I197="",Lists!$E$4,I197),Lists!$L$4:$L$13)-1))</f>
        <v/>
      </c>
      <c r="M197" s="22"/>
      <c r="N197" s="22"/>
    </row>
    <row r="198" customFormat="false" ht="15" hidden="false" customHeight="false" outlineLevel="0" collapsed="false">
      <c r="A198" s="22"/>
      <c r="B198" s="22"/>
      <c r="C198" s="22"/>
      <c r="D198" s="23" t="str">
        <f aca="false">IF(C198="","",IFERROR(INDEX(Employees!$B$5:$B$200,MATCH(C198,Employees!$A$5:$A$200,0)),"ID not found"))</f>
        <v/>
      </c>
      <c r="E198" s="24"/>
      <c r="F198" s="25" t="str">
        <f aca="false">IF(B198="","",IFERROR(INDEX(Lists!$B$4:$B$10,MATCH(B198,Lists!$A$4:$A$10,0)),""))</f>
        <v/>
      </c>
      <c r="G198" s="26" t="str">
        <f aca="false">IF(OR(E198="",F198=""),"",WORKDAY(E198,F198,Lists!$L$4:$L$13))</f>
        <v/>
      </c>
      <c r="H198" s="22"/>
      <c r="I198" s="24"/>
      <c r="J198" s="25" t="str">
        <f aca="false">IF(B198="","",IF(I198="","Open","Closed"))</f>
        <v/>
      </c>
      <c r="K198" s="23" t="str">
        <f aca="false">IF(G198="","",IF(I198="",IF(Lists!$E$4&gt;G198,"Overdue","Open - within SLA"),IF(I198&lt;=G198,"Met","Breached")))</f>
        <v/>
      </c>
      <c r="L198" s="25" t="str">
        <f aca="false">IF(E198="","",MAX(0,NETWORKDAYS(E198,IF(I198="",Lists!$E$4,I198),Lists!$L$4:$L$13)-1))</f>
        <v/>
      </c>
      <c r="M198" s="22"/>
      <c r="N198" s="22"/>
    </row>
    <row r="199" customFormat="false" ht="15" hidden="false" customHeight="false" outlineLevel="0" collapsed="false">
      <c r="A199" s="22"/>
      <c r="B199" s="22"/>
      <c r="C199" s="22"/>
      <c r="D199" s="23" t="str">
        <f aca="false">IF(C199="","",IFERROR(INDEX(Employees!$B$5:$B$200,MATCH(C199,Employees!$A$5:$A$200,0)),"ID not found"))</f>
        <v/>
      </c>
      <c r="E199" s="24"/>
      <c r="F199" s="25" t="str">
        <f aca="false">IF(B199="","",IFERROR(INDEX(Lists!$B$4:$B$10,MATCH(B199,Lists!$A$4:$A$10,0)),""))</f>
        <v/>
      </c>
      <c r="G199" s="26" t="str">
        <f aca="false">IF(OR(E199="",F199=""),"",WORKDAY(E199,F199,Lists!$L$4:$L$13))</f>
        <v/>
      </c>
      <c r="H199" s="22"/>
      <c r="I199" s="24"/>
      <c r="J199" s="25" t="str">
        <f aca="false">IF(B199="","",IF(I199="","Open","Closed"))</f>
        <v/>
      </c>
      <c r="K199" s="23" t="str">
        <f aca="false">IF(G199="","",IF(I199="",IF(Lists!$E$4&gt;G199,"Overdue","Open - within SLA"),IF(I199&lt;=G199,"Met","Breached")))</f>
        <v/>
      </c>
      <c r="L199" s="25" t="str">
        <f aca="false">IF(E199="","",MAX(0,NETWORKDAYS(E199,IF(I199="",Lists!$E$4,I199),Lists!$L$4:$L$13)-1))</f>
        <v/>
      </c>
      <c r="M199" s="22"/>
      <c r="N199" s="22"/>
    </row>
    <row r="200" customFormat="false" ht="15" hidden="false" customHeight="false" outlineLevel="0" collapsed="false">
      <c r="A200" s="22"/>
      <c r="B200" s="22"/>
      <c r="C200" s="22"/>
      <c r="D200" s="23" t="str">
        <f aca="false">IF(C200="","",IFERROR(INDEX(Employees!$B$5:$B$200,MATCH(C200,Employees!$A$5:$A$200,0)),"ID not found"))</f>
        <v/>
      </c>
      <c r="E200" s="24"/>
      <c r="F200" s="25" t="str">
        <f aca="false">IF(B200="","",IFERROR(INDEX(Lists!$B$4:$B$10,MATCH(B200,Lists!$A$4:$A$10,0)),""))</f>
        <v/>
      </c>
      <c r="G200" s="26" t="str">
        <f aca="false">IF(OR(E200="",F200=""),"",WORKDAY(E200,F200,Lists!$L$4:$L$13))</f>
        <v/>
      </c>
      <c r="H200" s="22"/>
      <c r="I200" s="24"/>
      <c r="J200" s="25" t="str">
        <f aca="false">IF(B200="","",IF(I200="","Open","Closed"))</f>
        <v/>
      </c>
      <c r="K200" s="23" t="str">
        <f aca="false">IF(G200="","",IF(I200="",IF(Lists!$E$4&gt;G200,"Overdue","Open - within SLA"),IF(I200&lt;=G200,"Met","Breached")))</f>
        <v/>
      </c>
      <c r="L200" s="25" t="str">
        <f aca="false">IF(E200="","",MAX(0,NETWORKDAYS(E200,IF(I200="",Lists!$E$4,I200),Lists!$L$4:$L$13)-1))</f>
        <v/>
      </c>
      <c r="M200" s="22"/>
      <c r="N200" s="22"/>
    </row>
    <row r="201" customFormat="false" ht="15" hidden="false" customHeight="false" outlineLevel="0" collapsed="false">
      <c r="A201" s="22"/>
      <c r="B201" s="22"/>
      <c r="C201" s="22"/>
      <c r="D201" s="23" t="str">
        <f aca="false">IF(C201="","",IFERROR(INDEX(Employees!$B$5:$B$200,MATCH(C201,Employees!$A$5:$A$200,0)),"ID not found"))</f>
        <v/>
      </c>
      <c r="E201" s="24"/>
      <c r="F201" s="25" t="str">
        <f aca="false">IF(B201="","",IFERROR(INDEX(Lists!$B$4:$B$10,MATCH(B201,Lists!$A$4:$A$10,0)),""))</f>
        <v/>
      </c>
      <c r="G201" s="26" t="str">
        <f aca="false">IF(OR(E201="",F201=""),"",WORKDAY(E201,F201,Lists!$L$4:$L$13))</f>
        <v/>
      </c>
      <c r="H201" s="22"/>
      <c r="I201" s="24"/>
      <c r="J201" s="25" t="str">
        <f aca="false">IF(B201="","",IF(I201="","Open","Closed"))</f>
        <v/>
      </c>
      <c r="K201" s="23" t="str">
        <f aca="false">IF(G201="","",IF(I201="",IF(Lists!$E$4&gt;G201,"Overdue","Open - within SLA"),IF(I201&lt;=G201,"Met","Breached")))</f>
        <v/>
      </c>
      <c r="L201" s="25" t="str">
        <f aca="false">IF(E201="","",MAX(0,NETWORKDAYS(E201,IF(I201="",Lists!$E$4,I201),Lists!$L$4:$L$13)-1))</f>
        <v/>
      </c>
      <c r="M201" s="22"/>
      <c r="N201" s="22"/>
    </row>
    <row r="202" customFormat="false" ht="15" hidden="false" customHeight="false" outlineLevel="0" collapsed="false">
      <c r="A202" s="22"/>
      <c r="B202" s="22"/>
      <c r="C202" s="22"/>
      <c r="D202" s="23" t="str">
        <f aca="false">IF(C202="","",IFERROR(INDEX(Employees!$B$5:$B$200,MATCH(C202,Employees!$A$5:$A$200,0)),"ID not found"))</f>
        <v/>
      </c>
      <c r="E202" s="24"/>
      <c r="F202" s="25" t="str">
        <f aca="false">IF(B202="","",IFERROR(INDEX(Lists!$B$4:$B$10,MATCH(B202,Lists!$A$4:$A$10,0)),""))</f>
        <v/>
      </c>
      <c r="G202" s="26" t="str">
        <f aca="false">IF(OR(E202="",F202=""),"",WORKDAY(E202,F202,Lists!$L$4:$L$13))</f>
        <v/>
      </c>
      <c r="H202" s="22"/>
      <c r="I202" s="24"/>
      <c r="J202" s="25" t="str">
        <f aca="false">IF(B202="","",IF(I202="","Open","Closed"))</f>
        <v/>
      </c>
      <c r="K202" s="23" t="str">
        <f aca="false">IF(G202="","",IF(I202="",IF(Lists!$E$4&gt;G202,"Overdue","Open - within SLA"),IF(I202&lt;=G202,"Met","Breached")))</f>
        <v/>
      </c>
      <c r="L202" s="25" t="str">
        <f aca="false">IF(E202="","",MAX(0,NETWORKDAYS(E202,IF(I202="",Lists!$E$4,I202),Lists!$L$4:$L$13)-1))</f>
        <v/>
      </c>
      <c r="M202" s="22"/>
      <c r="N202" s="22"/>
    </row>
    <row r="203" customFormat="false" ht="15" hidden="false" customHeight="false" outlineLevel="0" collapsed="false">
      <c r="A203" s="22"/>
      <c r="B203" s="22"/>
      <c r="C203" s="22"/>
      <c r="D203" s="23" t="str">
        <f aca="false">IF(C203="","",IFERROR(INDEX(Employees!$B$5:$B$200,MATCH(C203,Employees!$A$5:$A$200,0)),"ID not found"))</f>
        <v/>
      </c>
      <c r="E203" s="24"/>
      <c r="F203" s="25" t="str">
        <f aca="false">IF(B203="","",IFERROR(INDEX(Lists!$B$4:$B$10,MATCH(B203,Lists!$A$4:$A$10,0)),""))</f>
        <v/>
      </c>
      <c r="G203" s="26" t="str">
        <f aca="false">IF(OR(E203="",F203=""),"",WORKDAY(E203,F203,Lists!$L$4:$L$13))</f>
        <v/>
      </c>
      <c r="H203" s="22"/>
      <c r="I203" s="24"/>
      <c r="J203" s="25" t="str">
        <f aca="false">IF(B203="","",IF(I203="","Open","Closed"))</f>
        <v/>
      </c>
      <c r="K203" s="23" t="str">
        <f aca="false">IF(G203="","",IF(I203="",IF(Lists!$E$4&gt;G203,"Overdue","Open - within SLA"),IF(I203&lt;=G203,"Met","Breached")))</f>
        <v/>
      </c>
      <c r="L203" s="25" t="str">
        <f aca="false">IF(E203="","",MAX(0,NETWORKDAYS(E203,IF(I203="",Lists!$E$4,I203),Lists!$L$4:$L$13)-1))</f>
        <v/>
      </c>
      <c r="M203" s="22"/>
      <c r="N203" s="22"/>
    </row>
    <row r="204" customFormat="false" ht="15" hidden="false" customHeight="false" outlineLevel="0" collapsed="false">
      <c r="A204" s="22"/>
      <c r="B204" s="22"/>
      <c r="C204" s="22"/>
      <c r="D204" s="23" t="str">
        <f aca="false">IF(C204="","",IFERROR(INDEX(Employees!$B$5:$B$200,MATCH(C204,Employees!$A$5:$A$200,0)),"ID not found"))</f>
        <v/>
      </c>
      <c r="E204" s="24"/>
      <c r="F204" s="25" t="str">
        <f aca="false">IF(B204="","",IFERROR(INDEX(Lists!$B$4:$B$10,MATCH(B204,Lists!$A$4:$A$10,0)),""))</f>
        <v/>
      </c>
      <c r="G204" s="26" t="str">
        <f aca="false">IF(OR(E204="",F204=""),"",WORKDAY(E204,F204,Lists!$L$4:$L$13))</f>
        <v/>
      </c>
      <c r="H204" s="22"/>
      <c r="I204" s="24"/>
      <c r="J204" s="25" t="str">
        <f aca="false">IF(B204="","",IF(I204="","Open","Closed"))</f>
        <v/>
      </c>
      <c r="K204" s="23" t="str">
        <f aca="false">IF(G204="","",IF(I204="",IF(Lists!$E$4&gt;G204,"Overdue","Open - within SLA"),IF(I204&lt;=G204,"Met","Breached")))</f>
        <v/>
      </c>
      <c r="L204" s="25" t="str">
        <f aca="false">IF(E204="","",MAX(0,NETWORKDAYS(E204,IF(I204="",Lists!$E$4,I204),Lists!$L$4:$L$13)-1))</f>
        <v/>
      </c>
      <c r="M204" s="22"/>
      <c r="N204" s="22"/>
    </row>
    <row r="205" customFormat="false" ht="15" hidden="false" customHeight="false" outlineLevel="0" collapsed="false">
      <c r="A205" s="22"/>
      <c r="B205" s="22"/>
      <c r="C205" s="22"/>
      <c r="D205" s="23" t="str">
        <f aca="false">IF(C205="","",IFERROR(INDEX(Employees!$B$5:$B$200,MATCH(C205,Employees!$A$5:$A$200,0)),"ID not found"))</f>
        <v/>
      </c>
      <c r="E205" s="24"/>
      <c r="F205" s="25" t="str">
        <f aca="false">IF(B205="","",IFERROR(INDEX(Lists!$B$4:$B$10,MATCH(B205,Lists!$A$4:$A$10,0)),""))</f>
        <v/>
      </c>
      <c r="G205" s="26" t="str">
        <f aca="false">IF(OR(E205="",F205=""),"",WORKDAY(E205,F205,Lists!$L$4:$L$13))</f>
        <v/>
      </c>
      <c r="H205" s="22"/>
      <c r="I205" s="24"/>
      <c r="J205" s="25" t="str">
        <f aca="false">IF(B205="","",IF(I205="","Open","Closed"))</f>
        <v/>
      </c>
      <c r="K205" s="23" t="str">
        <f aca="false">IF(G205="","",IF(I205="",IF(Lists!$E$4&gt;G205,"Overdue","Open - within SLA"),IF(I205&lt;=G205,"Met","Breached")))</f>
        <v/>
      </c>
      <c r="L205" s="25" t="str">
        <f aca="false">IF(E205="","",MAX(0,NETWORKDAYS(E205,IF(I205="",Lists!$E$4,I205),Lists!$L$4:$L$13)-1))</f>
        <v/>
      </c>
      <c r="M205" s="22"/>
      <c r="N205" s="22"/>
    </row>
  </sheetData>
  <autoFilter ref="A5:N205"/>
  <conditionalFormatting sqref="K6:K205">
    <cfRule type="expression" priority="2" aboveAverage="0" equalAverage="0" bottom="0" percent="0" rank="0" text="" dxfId="12">
      <formula>ISNUMBER(SEARCH("Breached",K6))</formula>
    </cfRule>
    <cfRule type="expression" priority="3" aboveAverage="0" equalAverage="0" bottom="0" percent="0" rank="0" text="" dxfId="12">
      <formula>ISNUMBER(SEARCH("Overdue",K6))</formula>
    </cfRule>
    <cfRule type="expression" priority="4" aboveAverage="0" equalAverage="0" bottom="0" percent="0" rank="0" text="" dxfId="13">
      <formula>ISNUMBER(SEARCH("Met",K6))</formula>
    </cfRule>
    <cfRule type="expression" priority="5" aboveAverage="0" equalAverage="0" bottom="0" percent="0" rank="0" text="" dxfId="14">
      <formula>ISNUMBER(SEARCH("within SLA",K6))</formula>
    </cfRule>
  </conditionalFormatting>
  <conditionalFormatting sqref="D6:D205">
    <cfRule type="expression" priority="6" aboveAverage="0" equalAverage="0" bottom="0" percent="0" rank="0" text="" dxfId="12">
      <formula>ISNUMBER(SEARCH("not found",D6))</formula>
    </cfRule>
  </conditionalFormatting>
  <dataValidations count="4">
    <dataValidation allowBlank="true" errorStyle="stop" operator="between" showDropDown="false" showErrorMessage="true" showInputMessage="false" sqref="B6:B205" type="list">
      <formula1>Lists!$A$4:$A$10</formula1>
      <formula2>0</formula2>
    </dataValidation>
    <dataValidation allowBlank="true" errorStyle="stop" operator="between" showDropDown="false" showErrorMessage="true" showInputMessage="false" sqref="C6:C205" type="list">
      <formula1>Employees!$A$5:$A$200</formula1>
      <formula2>0</formula2>
    </dataValidation>
    <dataValidation allowBlank="true" errorStyle="stop" operator="between" showDropDown="false" showErrorMessage="true" showInputMessage="false" sqref="M6:M205" type="list">
      <formula1>Lists!$N$4:$N$8</formula1>
      <formula2>0</formula2>
    </dataValidation>
    <dataValidation allowBlank="true" error="Enter a valid date" errorStyle="stop" operator="greaterThan" showDropDown="false" showErrorMessage="true" showInputMessage="false" sqref="E6:E205 I6:I205" type="date">
      <formula1>43831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F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6" min="2" style="0" width="22"/>
  </cols>
  <sheetData>
    <row r="1" customFormat="false" ht="19.7" hidden="false" customHeight="false" outlineLevel="0" collapsed="false">
      <c r="A1" s="1" t="s">
        <v>133</v>
      </c>
    </row>
    <row r="2" customFormat="false" ht="15" hidden="false" customHeight="false" outlineLevel="0" collapsed="false">
      <c r="A2" s="2" t="s">
        <v>134</v>
      </c>
    </row>
    <row r="3" customFormat="false" ht="15" hidden="false" customHeight="false" outlineLevel="0" collapsed="false">
      <c r="A3" s="9" t="s">
        <v>135</v>
      </c>
      <c r="B3" s="22" t="s">
        <v>93</v>
      </c>
    </row>
    <row r="4" customFormat="false" ht="15" hidden="false" customHeight="false" outlineLevel="0" collapsed="false">
      <c r="A4" s="9" t="s">
        <v>136</v>
      </c>
      <c r="B4" s="22" t="s">
        <v>96</v>
      </c>
    </row>
    <row r="5" customFormat="false" ht="15" hidden="false" customHeight="false" outlineLevel="0" collapsed="false">
      <c r="A5" s="9" t="s">
        <v>137</v>
      </c>
      <c r="B5" s="22" t="s">
        <v>138</v>
      </c>
    </row>
    <row r="6" customFormat="false" ht="15" hidden="false" customHeight="false" outlineLevel="0" collapsed="false">
      <c r="A6" s="9" t="s">
        <v>139</v>
      </c>
      <c r="B6" s="26" t="n">
        <f aca="false">Lists!E4</f>
        <v>46297</v>
      </c>
    </row>
    <row r="7" customFormat="false" ht="15" hidden="false" customHeight="false" outlineLevel="0" collapsed="false">
      <c r="A7" s="9" t="s">
        <v>140</v>
      </c>
      <c r="B7" s="27" t="n">
        <f aca="false">IFERROR(MATCH(B3,Employees!$A$5:$A$200,0),0)</f>
        <v>1</v>
      </c>
    </row>
    <row r="8" customFormat="false" ht="15" hidden="false" customHeight="false" outlineLevel="0" collapsed="false">
      <c r="A8" s="9" t="s">
        <v>141</v>
      </c>
      <c r="B8" s="27" t="str">
        <f aca="false">IF($B$7=0,"ID not found",INDEX(Employees!$B$5:$B$200,$B$7))</f>
        <v>Aoife Murphy</v>
      </c>
    </row>
    <row r="9" customFormat="false" ht="15" hidden="false" customHeight="false" outlineLevel="0" collapsed="false">
      <c r="A9" s="9" t="s">
        <v>142</v>
      </c>
      <c r="B9" s="27" t="str">
        <f aca="false">IF($B$7=0,"",IF(INDEX(Employees!$D$5:$D$200,$B$7)="","",INDEX(Employees!$D$5:$D$200,$B$7)))</f>
        <v>Senior Consultant</v>
      </c>
    </row>
    <row r="10" customFormat="false" ht="15" hidden="false" customHeight="false" outlineLevel="0" collapsed="false">
      <c r="A10" s="9" t="s">
        <v>143</v>
      </c>
      <c r="B10" s="27" t="str">
        <f aca="false">IF($B$7=0,"",IF(INDEX(Employees!$F$5:$F$200,$B$7)="","",INDEX(Employees!$F$5:$F$200,$B$7)))</f>
        <v>Audit</v>
      </c>
    </row>
    <row r="11" customFormat="false" ht="15" hidden="false" customHeight="false" outlineLevel="0" collapsed="false">
      <c r="A11" s="9" t="s">
        <v>144</v>
      </c>
      <c r="B11" s="27" t="str">
        <f aca="false">IF($B$7=0,"",IF(INDEX(Employees!$E$5:$E$200,$B$7)="","",INDEX(Employees!$E$5:$E$200,$B$7)))</f>
        <v>Senior</v>
      </c>
    </row>
    <row r="12" customFormat="false" ht="15" hidden="false" customHeight="false" outlineLevel="0" collapsed="false">
      <c r="A12" s="9" t="s">
        <v>145</v>
      </c>
      <c r="B12" s="28" t="n">
        <f aca="false">IF($B$7=0,"",IF(INDEX(Employees!$G$5:$G$200,$B$7)="","",INDEX(Employees!$G$5:$G$200,$B$7)))</f>
        <v>43528</v>
      </c>
    </row>
    <row r="13" customFormat="false" ht="15" hidden="false" customHeight="false" outlineLevel="0" collapsed="false">
      <c r="A13" s="9" t="s">
        <v>146</v>
      </c>
      <c r="B13" s="28" t="str">
        <f aca="false">IF($B$7=0,"",IF(INDEX(Employees!$H$5:$H$200,$B$7)="","",INDEX(Employees!$H$5:$H$200,$B$7)))</f>
        <v/>
      </c>
    </row>
    <row r="14" customFormat="false" ht="15" hidden="false" customHeight="false" outlineLevel="0" collapsed="false">
      <c r="A14" s="9" t="s">
        <v>86</v>
      </c>
      <c r="B14" s="27" t="str">
        <f aca="false">IF($B$7=0,"",IF(INDEX(Employees!$I$5:$I$200,$B$7)="","",INDEX(Employees!$I$5:$I$200,$B$7)))</f>
        <v>active</v>
      </c>
    </row>
    <row r="15" customFormat="false" ht="15" hidden="false" customHeight="false" outlineLevel="0" collapsed="false">
      <c r="A15" s="9" t="s">
        <v>147</v>
      </c>
      <c r="B15" s="29" t="n">
        <f aca="false">IF($B$7=0,"",IF(INDEX(Employees!$L$5:$L$200,$B$7)="","",INDEX(Employees!$L$5:$L$200,$B$7)))</f>
        <v>68000</v>
      </c>
    </row>
    <row r="17" customFormat="false" ht="15" hidden="false" customHeight="false" outlineLevel="0" collapsed="false">
      <c r="A17" s="9" t="s">
        <v>148</v>
      </c>
      <c r="B17" s="9" t="str">
        <f aca="false">IF($B$7=0,"Employee not found",IF(AND($B$14&lt;&gt;"active",$B$13=""),"Missing end date","Ready"))</f>
        <v>Ready</v>
      </c>
    </row>
    <row r="18" customFormat="false" ht="15" hidden="false" customHeight="false" outlineLevel="0" collapsed="false">
      <c r="A18" s="9" t="s">
        <v>149</v>
      </c>
      <c r="B18" s="9" t="str">
        <f aca="false">IF($B$7=0,"Employee not found",IF($B$14&lt;&gt;"active","NOT ELIGIBLE - salary certificates are for current employees only",IF(TRIM($B$4)="","Purpose required","Ready")))</f>
        <v>Ready</v>
      </c>
    </row>
    <row r="20" customFormat="false" ht="15" hidden="false" customHeight="false" outlineLevel="0" collapsed="false">
      <c r="A20" s="30" t="str">
        <f aca="false">"REFERENCE LETTER  |  "&amp;B17</f>
        <v>REFERENCE LETTER  |  Ready</v>
      </c>
      <c r="B20" s="30"/>
      <c r="C20" s="30"/>
      <c r="D20" s="30"/>
      <c r="E20" s="30"/>
      <c r="F20" s="30"/>
    </row>
    <row r="21" customFormat="false" ht="48" hidden="false" customHeight="true" outlineLevel="0" collapsed="false">
      <c r="A21" s="31" t="str">
        <f aca="false">Lists!$E$11&amp;CHAR(10)&amp;"Ref: REF-"&amp;TEXT($B$6,"yyyymmdd")&amp;"-"&amp;$B$3&amp;CHAR(10)&amp;"Date: "&amp;TEXT($B$6,"dd mmmm yyyy")</f>
        <v>Example Company Ltd (Demo)
Ref: REF-20261002-E1001
Date: 02 October 2026</v>
      </c>
      <c r="B21" s="31"/>
      <c r="C21" s="31"/>
      <c r="D21" s="31"/>
      <c r="E21" s="31"/>
      <c r="F21" s="31"/>
    </row>
    <row r="22" customFormat="false" ht="31.5" hidden="false" customHeight="true" outlineLevel="0" collapsed="false">
      <c r="A22" s="31" t="str">
        <f aca="false">"TO WHOM IT MAY CONCERN"&amp;CHAR(10)&amp;"Re: Employment Reference - "&amp;$B$8</f>
        <v>TO WHOM IT MAY CONCERN
Re: Employment Reference - Aoife Murphy</v>
      </c>
      <c r="B22" s="31"/>
      <c r="C22" s="31"/>
      <c r="D22" s="31"/>
      <c r="E22" s="31"/>
      <c r="F22" s="31"/>
    </row>
    <row r="23" customFormat="false" ht="31.5" hidden="false" customHeight="true" outlineLevel="0" collapsed="false">
      <c r="A23" s="31" t="str">
        <f aca="false">IF($B$14="active",$B$8&amp;" has been employed by "&amp;Lists!$E$11&amp;" since "&amp;TEXT($B$12,"dd mmmm yyyy")&amp;" and remains employed.",$B$8&amp;" was employed by "&amp;Lists!$E$11&amp;" from "&amp;TEXT($B$12,"dd mmmm yyyy")&amp;" to "&amp;IF($B$13="","[END DATE MISSING]",TEXT($B$13,"dd mmmm yyyy"))&amp;".")</f>
        <v>Aoife Murphy has been employed by Example Company Ltd (Demo) since 04 March 2019 and remains employed.</v>
      </c>
      <c r="B23" s="31"/>
      <c r="C23" s="31"/>
      <c r="D23" s="31"/>
      <c r="E23" s="31"/>
      <c r="F23" s="31"/>
    </row>
    <row r="24" customFormat="false" ht="31.5" hidden="false" customHeight="true" outlineLevel="0" collapsed="false">
      <c r="A24" s="31" t="str">
        <f aca="false">"During this period, "&amp;$B$8&amp;" held the position of "&amp;$B$9&amp;" (Grade "&amp;$B$11&amp;") in the "&amp;$B$10&amp;" department."</f>
        <v>During this period, Aoife Murphy held the position of Senior Consultant (Grade Senior) in the Audit department.</v>
      </c>
      <c r="B24" s="31"/>
      <c r="C24" s="31"/>
      <c r="D24" s="31"/>
      <c r="E24" s="31"/>
      <c r="F24" s="31"/>
    </row>
    <row r="25" customFormat="false" ht="43.5" hidden="false" customHeight="true" outlineLevel="0" collapsed="false">
      <c r="A25" s="31" t="str">
        <f aca="false">"This reference is provided in confidence, at the employee's request, and relates only to employment dates and role held. It is issued without liability on the part of "&amp;Lists!$E$11&amp;"."</f>
        <v>This reference is provided in confidence, at the employee's request, and relates only to employment dates and role held. It is issued without liability on the part of Example Company Ltd (Demo).</v>
      </c>
      <c r="B25" s="31"/>
      <c r="C25" s="31"/>
      <c r="D25" s="31"/>
      <c r="E25" s="31"/>
      <c r="F25" s="31"/>
    </row>
    <row r="26" customFormat="false" ht="48" hidden="false" customHeight="true" outlineLevel="0" collapsed="false">
      <c r="A26" s="31" t="str">
        <f aca="false">"Yours faithfully,"&amp;CHAR(10)&amp;$B$5&amp;CHAR(10)&amp;"Human Resources Support Services"</f>
        <v>Yours faithfully,
HRSS Agent 1
Human Resources Support Services</v>
      </c>
      <c r="B26" s="31"/>
      <c r="C26" s="31"/>
      <c r="D26" s="31"/>
      <c r="E26" s="31"/>
      <c r="F26" s="31"/>
    </row>
    <row r="27" customFormat="false" ht="15" hidden="false" customHeight="false" outlineLevel="0" collapsed="false">
      <c r="A27" s="32"/>
    </row>
    <row r="28" customFormat="false" ht="15" hidden="false" customHeight="false" outlineLevel="0" collapsed="false">
      <c r="A28" s="33" t="str">
        <f aca="false">"SALARY CERTIFICATE  |  "&amp;B18</f>
        <v>SALARY CERTIFICATE  |  Ready</v>
      </c>
      <c r="B28" s="33"/>
      <c r="C28" s="33"/>
      <c r="D28" s="33"/>
      <c r="E28" s="33"/>
      <c r="F28" s="33"/>
    </row>
    <row r="29" customFormat="false" ht="48" hidden="false" customHeight="true" outlineLevel="0" collapsed="false">
      <c r="A29" s="31" t="str">
        <f aca="false">Lists!$E$11&amp;CHAR(10)&amp;"Ref: SAL-"&amp;TEXT($B$6,"yyyymmdd")&amp;"-"&amp;$B$3&amp;CHAR(10)&amp;"Date: "&amp;TEXT($B$6,"dd mmmm yyyy")</f>
        <v>Example Company Ltd (Demo)
Ref: SAL-20261002-E1001
Date: 02 October 2026</v>
      </c>
      <c r="B29" s="31"/>
      <c r="C29" s="31"/>
      <c r="D29" s="31"/>
      <c r="E29" s="31"/>
      <c r="F29" s="31"/>
    </row>
    <row r="30" customFormat="false" ht="19.5" hidden="false" customHeight="true" outlineLevel="0" collapsed="false">
      <c r="A30" s="31" t="str">
        <f aca="false">"SALARY CERTIFICATE"</f>
        <v>SALARY CERTIFICATE</v>
      </c>
      <c r="B30" s="31"/>
      <c r="C30" s="31"/>
      <c r="D30" s="31"/>
      <c r="E30" s="31"/>
      <c r="F30" s="31"/>
    </row>
    <row r="31" customFormat="false" ht="43.5" hidden="false" customHeight="true" outlineLevel="0" collapsed="false">
      <c r="A31" s="31" t="str">
        <f aca="false">"This is to certify that "&amp;$B$8&amp;" (Employee ID: "&amp;$B$3&amp;") is employed by "&amp;Lists!$E$11&amp;" as "&amp;$B$9&amp;" in the "&amp;$B$10&amp;" department, with effect from "&amp;TEXT($B$12,"dd mmmm yyyy")&amp;"."</f>
        <v>This is to certify that Aoife Murphy (Employee ID: E1001) is employed by Example Company Ltd (Demo) as Senior Consultant in the Audit department, with effect from 04 March 2019.</v>
      </c>
      <c r="B31" s="31"/>
      <c r="C31" s="31"/>
      <c r="D31" s="31"/>
      <c r="E31" s="31"/>
      <c r="F31" s="31"/>
    </row>
    <row r="32" customFormat="false" ht="19.5" hidden="false" customHeight="true" outlineLevel="0" collapsed="false">
      <c r="A32" s="31" t="str">
        <f aca="false">"Gross annual salary: EUR "&amp;TEXT($B$15,"#,##0.00")</f>
        <v>Gross annual salary: EUR 68,000.00</v>
      </c>
      <c r="B32" s="31"/>
      <c r="C32" s="31"/>
      <c r="D32" s="31"/>
      <c r="E32" s="31"/>
      <c r="F32" s="31"/>
    </row>
    <row r="33" customFormat="false" ht="43.5" hidden="false" customHeight="true" outlineLevel="0" collapsed="false">
      <c r="A33" s="31" t="str">
        <f aca="false">"Issued at the employee's request for the following purpose: "&amp;$B$4&amp;". It contains confidential personal data and must be used only for the stated purpose."</f>
        <v>Issued at the employee's request for the following purpose: Mortgage application. It contains confidential personal data and must be used only for the stated purpose.</v>
      </c>
      <c r="B33" s="31"/>
      <c r="C33" s="31"/>
      <c r="D33" s="31"/>
      <c r="E33" s="31"/>
      <c r="F33" s="31"/>
    </row>
    <row r="34" customFormat="false" ht="48" hidden="false" customHeight="true" outlineLevel="0" collapsed="false">
      <c r="A34" s="31" t="str">
        <f aca="false">"Yours faithfully,"&amp;CHAR(10)&amp;$B$5&amp;CHAR(10)&amp;"Human Resources Support Services"</f>
        <v>Yours faithfully,
HRSS Agent 1
Human Resources Support Services</v>
      </c>
      <c r="B34" s="31"/>
      <c r="C34" s="31"/>
      <c r="D34" s="31"/>
      <c r="E34" s="31"/>
      <c r="F34" s="31"/>
    </row>
  </sheetData>
  <mergeCells count="14">
    <mergeCell ref="A20:F20"/>
    <mergeCell ref="A21:F21"/>
    <mergeCell ref="A22:F22"/>
    <mergeCell ref="A23:F23"/>
    <mergeCell ref="A24:F24"/>
    <mergeCell ref="A25:F25"/>
    <mergeCell ref="A26:F26"/>
    <mergeCell ref="A28:F28"/>
    <mergeCell ref="A29:F29"/>
    <mergeCell ref="A30:F30"/>
    <mergeCell ref="A31:F31"/>
    <mergeCell ref="A32:F32"/>
    <mergeCell ref="A33:F33"/>
    <mergeCell ref="A34:F34"/>
  </mergeCells>
  <conditionalFormatting sqref="B17:B18">
    <cfRule type="expression" priority="2" aboveAverage="0" equalAverage="0" bottom="0" percent="0" rank="0" text="" dxfId="12">
      <formula>ISNUMBER(SEARCH("NOT",B17))</formula>
    </cfRule>
    <cfRule type="expression" priority="3" aboveAverage="0" equalAverage="0" bottom="0" percent="0" rank="0" text="" dxfId="12">
      <formula>ISNUMBER(SEARCH("not found",B17))</formula>
    </cfRule>
    <cfRule type="expression" priority="4" aboveAverage="0" equalAverage="0" bottom="0" percent="0" rank="0" text="" dxfId="12">
      <formula>ISNUMBER(SEARCH("Missing",B17))</formula>
    </cfRule>
    <cfRule type="expression" priority="5" aboveAverage="0" equalAverage="0" bottom="0" percent="0" rank="0" text="" dxfId="14">
      <formula>ISNUMBER(SEARCH("required",B17))</formula>
    </cfRule>
    <cfRule type="expression" priority="6" aboveAverage="0" equalAverage="0" bottom="0" percent="0" rank="0" text="" dxfId="13">
      <formula>ISNUMBER(SEARCH("Ready",B17))</formula>
    </cfRule>
  </conditionalFormatting>
  <dataValidations count="1">
    <dataValidation allowBlank="true" errorStyle="stop" operator="between" showDropDown="false" showErrorMessage="true" showInputMessage="false" sqref="B3" type="list">
      <formula1>Employees!$A$5:$A$200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L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20"/>
    <col collapsed="false" customWidth="true" hidden="false" outlineLevel="0" max="4" min="4" style="0" width="14"/>
    <col collapsed="false" customWidth="true" hidden="false" outlineLevel="0" max="5" min="5" style="0" width="12"/>
    <col collapsed="false" customWidth="true" hidden="false" outlineLevel="0" max="6" min="6" style="0" width="20"/>
    <col collapsed="false" customWidth="true" hidden="false" outlineLevel="0" max="9" min="7" style="0" width="14"/>
    <col collapsed="false" customWidth="true" hidden="false" outlineLevel="0" max="10" min="10" style="0" width="28"/>
    <col collapsed="false" customWidth="true" hidden="false" outlineLevel="0" max="11" min="11" style="0" width="16"/>
    <col collapsed="false" customWidth="true" hidden="false" outlineLevel="0" max="12" min="12" style="0" width="12"/>
  </cols>
  <sheetData>
    <row r="1" customFormat="false" ht="19.7" hidden="false" customHeight="false" outlineLevel="0" collapsed="false">
      <c r="A1" s="1" t="s">
        <v>150</v>
      </c>
    </row>
    <row r="2" customFormat="false" ht="15" hidden="false" customHeight="false" outlineLevel="0" collapsed="false">
      <c r="A2" s="2" t="s">
        <v>151</v>
      </c>
    </row>
    <row r="4" customFormat="false" ht="31.5" hidden="false" customHeight="true" outlineLevel="0" collapsed="false">
      <c r="A4" s="11" t="s">
        <v>152</v>
      </c>
      <c r="B4" s="11" t="s">
        <v>79</v>
      </c>
      <c r="C4" s="11" t="s">
        <v>80</v>
      </c>
      <c r="D4" s="11" t="s">
        <v>153</v>
      </c>
      <c r="E4" s="11" t="s">
        <v>154</v>
      </c>
      <c r="F4" s="11" t="s">
        <v>155</v>
      </c>
      <c r="G4" s="11" t="s">
        <v>156</v>
      </c>
      <c r="H4" s="11" t="s">
        <v>157</v>
      </c>
      <c r="I4" s="11" t="s">
        <v>158</v>
      </c>
      <c r="J4" s="11" t="s">
        <v>159</v>
      </c>
      <c r="K4" s="11" t="s">
        <v>160</v>
      </c>
      <c r="L4" s="11" t="s">
        <v>86</v>
      </c>
    </row>
    <row r="5" customFormat="false" ht="15" hidden="false" customHeight="false" outlineLevel="0" collapsed="false">
      <c r="A5" s="24" t="n">
        <v>46287</v>
      </c>
      <c r="B5" s="22" t="s">
        <v>104</v>
      </c>
      <c r="C5" s="25" t="str">
        <f aca="false">IF(B5="","",IFERROR(INDEX(Employees!$B$5:$B$200,MATCH(B5,Employees!$A$5:$A$200,0)),"ID not found"))</f>
        <v>Conor Walsh</v>
      </c>
      <c r="D5" s="25" t="str">
        <f aca="false">IF(B5="","",IFERROR(INDEX(Employees!$J$5:$J$200,MATCH(B5,Employees!$A$5:$A$200,0))&amp;"","ID not found"))</f>
        <v>E1005</v>
      </c>
      <c r="E5" s="22" t="s">
        <v>120</v>
      </c>
      <c r="F5" s="25" t="str">
        <f aca="false">IF(E5="","",IFERROR(INDEX(Employees!$B$5:$B$200,MATCH(E5,Employees!$A$5:$A$200,0)),"ID not found"))</f>
        <v>Liam O'Brien</v>
      </c>
      <c r="G5" s="25" t="str">
        <f aca="false">IF(E5="","",IFERROR(INDEX(Employees!$I$5:$I$200,MATCH(E5,Employees!$A$5:$A$200,0)),"not found"))</f>
        <v>active</v>
      </c>
      <c r="H5" s="25" t="n">
        <f aca="false">IF(E5="","",COUNTIF(Employees!$J$5:$J$200,E5))</f>
        <v>2</v>
      </c>
      <c r="I5" s="25" t="str">
        <f aca="false">IF(E5="","",IF(H5&gt;=Lists!$E$10,"At capacity","OK"))</f>
        <v>OK</v>
      </c>
      <c r="J5" s="23" t="str">
        <f aca="false">IF(B5="","",IF(G5="not found","Invalid: coach ID not found",IF(B5=E5,"Invalid: self-coach",IF(G5&lt;&gt;"active","Invalid: coach inactive",IF(D5=E5,"Invalid: already assigned",IF(I5="At capacity","Invalid: at capacity","OK"))))))</f>
        <v>OK</v>
      </c>
      <c r="K5" s="22" t="s">
        <v>94</v>
      </c>
      <c r="L5" s="22" t="s">
        <v>161</v>
      </c>
    </row>
    <row r="6" customFormat="false" ht="15" hidden="false" customHeight="false" outlineLevel="0" collapsed="false">
      <c r="A6" s="24" t="n">
        <v>46295</v>
      </c>
      <c r="B6" s="22" t="s">
        <v>127</v>
      </c>
      <c r="C6" s="25" t="str">
        <f aca="false">IF(B6="","",IFERROR(INDEX(Employees!$B$5:$B$200,MATCH(B6,Employees!$A$5:$A$200,0)),"ID not found"))</f>
        <v>Emma Ryan</v>
      </c>
      <c r="D6" s="25" t="str">
        <f aca="false">IF(B6="","",IFERROR(INDEX(Employees!$J$5:$J$200,MATCH(B6,Employees!$A$5:$A$200,0))&amp;"","ID not found"))</f>
        <v>E1006</v>
      </c>
      <c r="E6" s="22" t="s">
        <v>127</v>
      </c>
      <c r="F6" s="25" t="str">
        <f aca="false">IF(E6="","",IFERROR(INDEX(Employees!$B$5:$B$200,MATCH(E6,Employees!$A$5:$A$200,0)),"ID not found"))</f>
        <v>Emma Ryan</v>
      </c>
      <c r="G6" s="25" t="str">
        <f aca="false">IF(E6="","",IFERROR(INDEX(Employees!$I$5:$I$200,MATCH(E6,Employees!$A$5:$A$200,0)),"not found"))</f>
        <v>active</v>
      </c>
      <c r="H6" s="25" t="n">
        <f aca="false">IF(E6="","",COUNTIF(Employees!$J$5:$J$200,E6))</f>
        <v>0</v>
      </c>
      <c r="I6" s="25" t="str">
        <f aca="false">IF(E6="","",IF(H6&gt;=Lists!$E$10,"At capacity","OK"))</f>
        <v>OK</v>
      </c>
      <c r="J6" s="23" t="str">
        <f aca="false">IF(B6="","",IF(G6="not found","Invalid: coach ID not found",IF(B6=E6,"Invalid: self-coach",IF(G6&lt;&gt;"active","Invalid: coach inactive",IF(D6=E6,"Invalid: already assigned",IF(I6="At capacity","Invalid: at capacity","OK"))))))</f>
        <v>Invalid: self-coach</v>
      </c>
      <c r="K6" s="22" t="s">
        <v>100</v>
      </c>
      <c r="L6" s="22" t="s">
        <v>162</v>
      </c>
    </row>
    <row r="7" customFormat="false" ht="15" hidden="false" customHeight="false" outlineLevel="0" collapsed="false">
      <c r="A7" s="24"/>
      <c r="B7" s="22"/>
      <c r="C7" s="25" t="str">
        <f aca="false">IF(B7="","",IFERROR(INDEX(Employees!$B$5:$B$200,MATCH(B7,Employees!$A$5:$A$200,0)),"ID not found"))</f>
        <v/>
      </c>
      <c r="D7" s="25" t="str">
        <f aca="false">IF(B7="","",IFERROR(INDEX(Employees!$J$5:$J$200,MATCH(B7,Employees!$A$5:$A$200,0))&amp;"","ID not found"))</f>
        <v/>
      </c>
      <c r="E7" s="22"/>
      <c r="F7" s="25" t="str">
        <f aca="false">IF(E7="","",IFERROR(INDEX(Employees!$B$5:$B$200,MATCH(E7,Employees!$A$5:$A$200,0)),"ID not found"))</f>
        <v/>
      </c>
      <c r="G7" s="25" t="str">
        <f aca="false">IF(E7="","",IFERROR(INDEX(Employees!$I$5:$I$200,MATCH(E7,Employees!$A$5:$A$200,0)),"not found"))</f>
        <v/>
      </c>
      <c r="H7" s="25" t="str">
        <f aca="false">IF(E7="","",COUNTIF(Employees!$J$5:$J$200,E7))</f>
        <v/>
      </c>
      <c r="I7" s="25" t="str">
        <f aca="false">IF(E7="","",IF(H7&gt;=Lists!$E$10,"At capacity","OK"))</f>
        <v/>
      </c>
      <c r="J7" s="23" t="str">
        <f aca="false">IF(B7="","",IF(G7="not found","Invalid: coach ID not found",IF(B7=E7,"Invalid: self-coach",IF(G7&lt;&gt;"active","Invalid: coach inactive",IF(D7=E7,"Invalid: already assigned",IF(I7="At capacity","Invalid: at capacity","OK"))))))</f>
        <v/>
      </c>
      <c r="K7" s="22"/>
      <c r="L7" s="22"/>
    </row>
    <row r="8" customFormat="false" ht="15" hidden="false" customHeight="false" outlineLevel="0" collapsed="false">
      <c r="A8" s="24"/>
      <c r="B8" s="22"/>
      <c r="C8" s="25" t="str">
        <f aca="false">IF(B8="","",IFERROR(INDEX(Employees!$B$5:$B$200,MATCH(B8,Employees!$A$5:$A$200,0)),"ID not found"))</f>
        <v/>
      </c>
      <c r="D8" s="25" t="str">
        <f aca="false">IF(B8="","",IFERROR(INDEX(Employees!$J$5:$J$200,MATCH(B8,Employees!$A$5:$A$200,0))&amp;"","ID not found"))</f>
        <v/>
      </c>
      <c r="E8" s="22"/>
      <c r="F8" s="25" t="str">
        <f aca="false">IF(E8="","",IFERROR(INDEX(Employees!$B$5:$B$200,MATCH(E8,Employees!$A$5:$A$200,0)),"ID not found"))</f>
        <v/>
      </c>
      <c r="G8" s="25" t="str">
        <f aca="false">IF(E8="","",IFERROR(INDEX(Employees!$I$5:$I$200,MATCH(E8,Employees!$A$5:$A$200,0)),"not found"))</f>
        <v/>
      </c>
      <c r="H8" s="25" t="str">
        <f aca="false">IF(E8="","",COUNTIF(Employees!$J$5:$J$200,E8))</f>
        <v/>
      </c>
      <c r="I8" s="25" t="str">
        <f aca="false">IF(E8="","",IF(H8&gt;=Lists!$E$10,"At capacity","OK"))</f>
        <v/>
      </c>
      <c r="J8" s="23" t="str">
        <f aca="false">IF(B8="","",IF(G8="not found","Invalid: coach ID not found",IF(B8=E8,"Invalid: self-coach",IF(G8&lt;&gt;"active","Invalid: coach inactive",IF(D8=E8,"Invalid: already assigned",IF(I8="At capacity","Invalid: at capacity","OK"))))))</f>
        <v/>
      </c>
      <c r="K8" s="22"/>
      <c r="L8" s="22"/>
    </row>
    <row r="9" customFormat="false" ht="15" hidden="false" customHeight="false" outlineLevel="0" collapsed="false">
      <c r="A9" s="24"/>
      <c r="B9" s="22"/>
      <c r="C9" s="25" t="str">
        <f aca="false">IF(B9="","",IFERROR(INDEX(Employees!$B$5:$B$200,MATCH(B9,Employees!$A$5:$A$200,0)),"ID not found"))</f>
        <v/>
      </c>
      <c r="D9" s="25" t="str">
        <f aca="false">IF(B9="","",IFERROR(INDEX(Employees!$J$5:$J$200,MATCH(B9,Employees!$A$5:$A$200,0))&amp;"","ID not found"))</f>
        <v/>
      </c>
      <c r="E9" s="22"/>
      <c r="F9" s="25" t="str">
        <f aca="false">IF(E9="","",IFERROR(INDEX(Employees!$B$5:$B$200,MATCH(E9,Employees!$A$5:$A$200,0)),"ID not found"))</f>
        <v/>
      </c>
      <c r="G9" s="25" t="str">
        <f aca="false">IF(E9="","",IFERROR(INDEX(Employees!$I$5:$I$200,MATCH(E9,Employees!$A$5:$A$200,0)),"not found"))</f>
        <v/>
      </c>
      <c r="H9" s="25" t="str">
        <f aca="false">IF(E9="","",COUNTIF(Employees!$J$5:$J$200,E9))</f>
        <v/>
      </c>
      <c r="I9" s="25" t="str">
        <f aca="false">IF(E9="","",IF(H9&gt;=Lists!$E$10,"At capacity","OK"))</f>
        <v/>
      </c>
      <c r="J9" s="23" t="str">
        <f aca="false">IF(B9="","",IF(G9="not found","Invalid: coach ID not found",IF(B9=E9,"Invalid: self-coach",IF(G9&lt;&gt;"active","Invalid: coach inactive",IF(D9=E9,"Invalid: already assigned",IF(I9="At capacity","Invalid: at capacity","OK"))))))</f>
        <v/>
      </c>
      <c r="K9" s="22"/>
      <c r="L9" s="22"/>
    </row>
    <row r="10" customFormat="false" ht="15" hidden="false" customHeight="false" outlineLevel="0" collapsed="false">
      <c r="A10" s="24"/>
      <c r="B10" s="22"/>
      <c r="C10" s="25" t="str">
        <f aca="false">IF(B10="","",IFERROR(INDEX(Employees!$B$5:$B$200,MATCH(B10,Employees!$A$5:$A$200,0)),"ID not found"))</f>
        <v/>
      </c>
      <c r="D10" s="25" t="str">
        <f aca="false">IF(B10="","",IFERROR(INDEX(Employees!$J$5:$J$200,MATCH(B10,Employees!$A$5:$A$200,0))&amp;"","ID not found"))</f>
        <v/>
      </c>
      <c r="E10" s="22"/>
      <c r="F10" s="25" t="str">
        <f aca="false">IF(E10="","",IFERROR(INDEX(Employees!$B$5:$B$200,MATCH(E10,Employees!$A$5:$A$200,0)),"ID not found"))</f>
        <v/>
      </c>
      <c r="G10" s="25" t="str">
        <f aca="false">IF(E10="","",IFERROR(INDEX(Employees!$I$5:$I$200,MATCH(E10,Employees!$A$5:$A$200,0)),"not found"))</f>
        <v/>
      </c>
      <c r="H10" s="25" t="str">
        <f aca="false">IF(E10="","",COUNTIF(Employees!$J$5:$J$200,E10))</f>
        <v/>
      </c>
      <c r="I10" s="25" t="str">
        <f aca="false">IF(E10="","",IF(H10&gt;=Lists!$E$10,"At capacity","OK"))</f>
        <v/>
      </c>
      <c r="J10" s="23" t="str">
        <f aca="false">IF(B10="","",IF(G10="not found","Invalid: coach ID not found",IF(B10=E10,"Invalid: self-coach",IF(G10&lt;&gt;"active","Invalid: coach inactive",IF(D10=E10,"Invalid: already assigned",IF(I10="At capacity","Invalid: at capacity","OK"))))))</f>
        <v/>
      </c>
      <c r="K10" s="22"/>
      <c r="L10" s="22"/>
    </row>
    <row r="11" customFormat="false" ht="15" hidden="false" customHeight="false" outlineLevel="0" collapsed="false">
      <c r="A11" s="24"/>
      <c r="B11" s="22"/>
      <c r="C11" s="25" t="str">
        <f aca="false">IF(B11="","",IFERROR(INDEX(Employees!$B$5:$B$200,MATCH(B11,Employees!$A$5:$A$200,0)),"ID not found"))</f>
        <v/>
      </c>
      <c r="D11" s="25" t="str">
        <f aca="false">IF(B11="","",IFERROR(INDEX(Employees!$J$5:$J$200,MATCH(B11,Employees!$A$5:$A$200,0))&amp;"","ID not found"))</f>
        <v/>
      </c>
      <c r="E11" s="22"/>
      <c r="F11" s="25" t="str">
        <f aca="false">IF(E11="","",IFERROR(INDEX(Employees!$B$5:$B$200,MATCH(E11,Employees!$A$5:$A$200,0)),"ID not found"))</f>
        <v/>
      </c>
      <c r="G11" s="25" t="str">
        <f aca="false">IF(E11="","",IFERROR(INDEX(Employees!$I$5:$I$200,MATCH(E11,Employees!$A$5:$A$200,0)),"not found"))</f>
        <v/>
      </c>
      <c r="H11" s="25" t="str">
        <f aca="false">IF(E11="","",COUNTIF(Employees!$J$5:$J$200,E11))</f>
        <v/>
      </c>
      <c r="I11" s="25" t="str">
        <f aca="false">IF(E11="","",IF(H11&gt;=Lists!$E$10,"At capacity","OK"))</f>
        <v/>
      </c>
      <c r="J11" s="23" t="str">
        <f aca="false">IF(B11="","",IF(G11="not found","Invalid: coach ID not found",IF(B11=E11,"Invalid: self-coach",IF(G11&lt;&gt;"active","Invalid: coach inactive",IF(D11=E11,"Invalid: already assigned",IF(I11="At capacity","Invalid: at capacity","OK"))))))</f>
        <v/>
      </c>
      <c r="K11" s="22"/>
      <c r="L11" s="22"/>
    </row>
    <row r="12" customFormat="false" ht="15" hidden="false" customHeight="false" outlineLevel="0" collapsed="false">
      <c r="A12" s="24"/>
      <c r="B12" s="22"/>
      <c r="C12" s="25" t="str">
        <f aca="false">IF(B12="","",IFERROR(INDEX(Employees!$B$5:$B$200,MATCH(B12,Employees!$A$5:$A$200,0)),"ID not found"))</f>
        <v/>
      </c>
      <c r="D12" s="25" t="str">
        <f aca="false">IF(B12="","",IFERROR(INDEX(Employees!$J$5:$J$200,MATCH(B12,Employees!$A$5:$A$200,0))&amp;"","ID not found"))</f>
        <v/>
      </c>
      <c r="E12" s="22"/>
      <c r="F12" s="25" t="str">
        <f aca="false">IF(E12="","",IFERROR(INDEX(Employees!$B$5:$B$200,MATCH(E12,Employees!$A$5:$A$200,0)),"ID not found"))</f>
        <v/>
      </c>
      <c r="G12" s="25" t="str">
        <f aca="false">IF(E12="","",IFERROR(INDEX(Employees!$I$5:$I$200,MATCH(E12,Employees!$A$5:$A$200,0)),"not found"))</f>
        <v/>
      </c>
      <c r="H12" s="25" t="str">
        <f aca="false">IF(E12="","",COUNTIF(Employees!$J$5:$J$200,E12))</f>
        <v/>
      </c>
      <c r="I12" s="25" t="str">
        <f aca="false">IF(E12="","",IF(H12&gt;=Lists!$E$10,"At capacity","OK"))</f>
        <v/>
      </c>
      <c r="J12" s="23" t="str">
        <f aca="false">IF(B12="","",IF(G12="not found","Invalid: coach ID not found",IF(B12=E12,"Invalid: self-coach",IF(G12&lt;&gt;"active","Invalid: coach inactive",IF(D12=E12,"Invalid: already assigned",IF(I12="At capacity","Invalid: at capacity","OK"))))))</f>
        <v/>
      </c>
      <c r="K12" s="22"/>
      <c r="L12" s="22"/>
    </row>
    <row r="13" customFormat="false" ht="15" hidden="false" customHeight="false" outlineLevel="0" collapsed="false">
      <c r="A13" s="24"/>
      <c r="B13" s="22"/>
      <c r="C13" s="25" t="str">
        <f aca="false">IF(B13="","",IFERROR(INDEX(Employees!$B$5:$B$200,MATCH(B13,Employees!$A$5:$A$200,0)),"ID not found"))</f>
        <v/>
      </c>
      <c r="D13" s="25" t="str">
        <f aca="false">IF(B13="","",IFERROR(INDEX(Employees!$J$5:$J$200,MATCH(B13,Employees!$A$5:$A$200,0))&amp;"","ID not found"))</f>
        <v/>
      </c>
      <c r="E13" s="22"/>
      <c r="F13" s="25" t="str">
        <f aca="false">IF(E13="","",IFERROR(INDEX(Employees!$B$5:$B$200,MATCH(E13,Employees!$A$5:$A$200,0)),"ID not found"))</f>
        <v/>
      </c>
      <c r="G13" s="25" t="str">
        <f aca="false">IF(E13="","",IFERROR(INDEX(Employees!$I$5:$I$200,MATCH(E13,Employees!$A$5:$A$200,0)),"not found"))</f>
        <v/>
      </c>
      <c r="H13" s="25" t="str">
        <f aca="false">IF(E13="","",COUNTIF(Employees!$J$5:$J$200,E13))</f>
        <v/>
      </c>
      <c r="I13" s="25" t="str">
        <f aca="false">IF(E13="","",IF(H13&gt;=Lists!$E$10,"At capacity","OK"))</f>
        <v/>
      </c>
      <c r="J13" s="23" t="str">
        <f aca="false">IF(B13="","",IF(G13="not found","Invalid: coach ID not found",IF(B13=E13,"Invalid: self-coach",IF(G13&lt;&gt;"active","Invalid: coach inactive",IF(D13=E13,"Invalid: already assigned",IF(I13="At capacity","Invalid: at capacity","OK"))))))</f>
        <v/>
      </c>
      <c r="K13" s="22"/>
      <c r="L13" s="22"/>
    </row>
    <row r="14" customFormat="false" ht="15" hidden="false" customHeight="false" outlineLevel="0" collapsed="false">
      <c r="A14" s="24"/>
      <c r="B14" s="22"/>
      <c r="C14" s="25" t="str">
        <f aca="false">IF(B14="","",IFERROR(INDEX(Employees!$B$5:$B$200,MATCH(B14,Employees!$A$5:$A$200,0)),"ID not found"))</f>
        <v/>
      </c>
      <c r="D14" s="25" t="str">
        <f aca="false">IF(B14="","",IFERROR(INDEX(Employees!$J$5:$J$200,MATCH(B14,Employees!$A$5:$A$200,0))&amp;"","ID not found"))</f>
        <v/>
      </c>
      <c r="E14" s="22"/>
      <c r="F14" s="25" t="str">
        <f aca="false">IF(E14="","",IFERROR(INDEX(Employees!$B$5:$B$200,MATCH(E14,Employees!$A$5:$A$200,0)),"ID not found"))</f>
        <v/>
      </c>
      <c r="G14" s="25" t="str">
        <f aca="false">IF(E14="","",IFERROR(INDEX(Employees!$I$5:$I$200,MATCH(E14,Employees!$A$5:$A$200,0)),"not found"))</f>
        <v/>
      </c>
      <c r="H14" s="25" t="str">
        <f aca="false">IF(E14="","",COUNTIF(Employees!$J$5:$J$200,E14))</f>
        <v/>
      </c>
      <c r="I14" s="25" t="str">
        <f aca="false">IF(E14="","",IF(H14&gt;=Lists!$E$10,"At capacity","OK"))</f>
        <v/>
      </c>
      <c r="J14" s="23" t="str">
        <f aca="false">IF(B14="","",IF(G14="not found","Invalid: coach ID not found",IF(B14=E14,"Invalid: self-coach",IF(G14&lt;&gt;"active","Invalid: coach inactive",IF(D14=E14,"Invalid: already assigned",IF(I14="At capacity","Invalid: at capacity","OK"))))))</f>
        <v/>
      </c>
      <c r="K14" s="22"/>
      <c r="L14" s="22"/>
    </row>
    <row r="15" customFormat="false" ht="15" hidden="false" customHeight="false" outlineLevel="0" collapsed="false">
      <c r="A15" s="24"/>
      <c r="B15" s="22"/>
      <c r="C15" s="25" t="str">
        <f aca="false">IF(B15="","",IFERROR(INDEX(Employees!$B$5:$B$200,MATCH(B15,Employees!$A$5:$A$200,0)),"ID not found"))</f>
        <v/>
      </c>
      <c r="D15" s="25" t="str">
        <f aca="false">IF(B15="","",IFERROR(INDEX(Employees!$J$5:$J$200,MATCH(B15,Employees!$A$5:$A$200,0))&amp;"","ID not found"))</f>
        <v/>
      </c>
      <c r="E15" s="22"/>
      <c r="F15" s="25" t="str">
        <f aca="false">IF(E15="","",IFERROR(INDEX(Employees!$B$5:$B$200,MATCH(E15,Employees!$A$5:$A$200,0)),"ID not found"))</f>
        <v/>
      </c>
      <c r="G15" s="25" t="str">
        <f aca="false">IF(E15="","",IFERROR(INDEX(Employees!$I$5:$I$200,MATCH(E15,Employees!$A$5:$A$200,0)),"not found"))</f>
        <v/>
      </c>
      <c r="H15" s="25" t="str">
        <f aca="false">IF(E15="","",COUNTIF(Employees!$J$5:$J$200,E15))</f>
        <v/>
      </c>
      <c r="I15" s="25" t="str">
        <f aca="false">IF(E15="","",IF(H15&gt;=Lists!$E$10,"At capacity","OK"))</f>
        <v/>
      </c>
      <c r="J15" s="23" t="str">
        <f aca="false">IF(B15="","",IF(G15="not found","Invalid: coach ID not found",IF(B15=E15,"Invalid: self-coach",IF(G15&lt;&gt;"active","Invalid: coach inactive",IF(D15=E15,"Invalid: already assigned",IF(I15="At capacity","Invalid: at capacity","OK"))))))</f>
        <v/>
      </c>
      <c r="K15" s="22"/>
      <c r="L15" s="22"/>
    </row>
    <row r="16" customFormat="false" ht="15" hidden="false" customHeight="false" outlineLevel="0" collapsed="false">
      <c r="A16" s="24"/>
      <c r="B16" s="22"/>
      <c r="C16" s="25" t="str">
        <f aca="false">IF(B16="","",IFERROR(INDEX(Employees!$B$5:$B$200,MATCH(B16,Employees!$A$5:$A$200,0)),"ID not found"))</f>
        <v/>
      </c>
      <c r="D16" s="25" t="str">
        <f aca="false">IF(B16="","",IFERROR(INDEX(Employees!$J$5:$J$200,MATCH(B16,Employees!$A$5:$A$200,0))&amp;"","ID not found"))</f>
        <v/>
      </c>
      <c r="E16" s="22"/>
      <c r="F16" s="25" t="str">
        <f aca="false">IF(E16="","",IFERROR(INDEX(Employees!$B$5:$B$200,MATCH(E16,Employees!$A$5:$A$200,0)),"ID not found"))</f>
        <v/>
      </c>
      <c r="G16" s="25" t="str">
        <f aca="false">IF(E16="","",IFERROR(INDEX(Employees!$I$5:$I$200,MATCH(E16,Employees!$A$5:$A$200,0)),"not found"))</f>
        <v/>
      </c>
      <c r="H16" s="25" t="str">
        <f aca="false">IF(E16="","",COUNTIF(Employees!$J$5:$J$200,E16))</f>
        <v/>
      </c>
      <c r="I16" s="25" t="str">
        <f aca="false">IF(E16="","",IF(H16&gt;=Lists!$E$10,"At capacity","OK"))</f>
        <v/>
      </c>
      <c r="J16" s="23" t="str">
        <f aca="false">IF(B16="","",IF(G16="not found","Invalid: coach ID not found",IF(B16=E16,"Invalid: self-coach",IF(G16&lt;&gt;"active","Invalid: coach inactive",IF(D16=E16,"Invalid: already assigned",IF(I16="At capacity","Invalid: at capacity","OK"))))))</f>
        <v/>
      </c>
      <c r="K16" s="22"/>
      <c r="L16" s="22"/>
    </row>
    <row r="17" customFormat="false" ht="15" hidden="false" customHeight="false" outlineLevel="0" collapsed="false">
      <c r="A17" s="24"/>
      <c r="B17" s="22"/>
      <c r="C17" s="25" t="str">
        <f aca="false">IF(B17="","",IFERROR(INDEX(Employees!$B$5:$B$200,MATCH(B17,Employees!$A$5:$A$200,0)),"ID not found"))</f>
        <v/>
      </c>
      <c r="D17" s="25" t="str">
        <f aca="false">IF(B17="","",IFERROR(INDEX(Employees!$J$5:$J$200,MATCH(B17,Employees!$A$5:$A$200,0))&amp;"","ID not found"))</f>
        <v/>
      </c>
      <c r="E17" s="22"/>
      <c r="F17" s="25" t="str">
        <f aca="false">IF(E17="","",IFERROR(INDEX(Employees!$B$5:$B$200,MATCH(E17,Employees!$A$5:$A$200,0)),"ID not found"))</f>
        <v/>
      </c>
      <c r="G17" s="25" t="str">
        <f aca="false">IF(E17="","",IFERROR(INDEX(Employees!$I$5:$I$200,MATCH(E17,Employees!$A$5:$A$200,0)),"not found"))</f>
        <v/>
      </c>
      <c r="H17" s="25" t="str">
        <f aca="false">IF(E17="","",COUNTIF(Employees!$J$5:$J$200,E17))</f>
        <v/>
      </c>
      <c r="I17" s="25" t="str">
        <f aca="false">IF(E17="","",IF(H17&gt;=Lists!$E$10,"At capacity","OK"))</f>
        <v/>
      </c>
      <c r="J17" s="23" t="str">
        <f aca="false">IF(B17="","",IF(G17="not found","Invalid: coach ID not found",IF(B17=E17,"Invalid: self-coach",IF(G17&lt;&gt;"active","Invalid: coach inactive",IF(D17=E17,"Invalid: already assigned",IF(I17="At capacity","Invalid: at capacity","OK"))))))</f>
        <v/>
      </c>
      <c r="K17" s="22"/>
      <c r="L17" s="22"/>
    </row>
    <row r="18" customFormat="false" ht="15" hidden="false" customHeight="false" outlineLevel="0" collapsed="false">
      <c r="A18" s="24"/>
      <c r="B18" s="22"/>
      <c r="C18" s="25" t="str">
        <f aca="false">IF(B18="","",IFERROR(INDEX(Employees!$B$5:$B$200,MATCH(B18,Employees!$A$5:$A$200,0)),"ID not found"))</f>
        <v/>
      </c>
      <c r="D18" s="25" t="str">
        <f aca="false">IF(B18="","",IFERROR(INDEX(Employees!$J$5:$J$200,MATCH(B18,Employees!$A$5:$A$200,0))&amp;"","ID not found"))</f>
        <v/>
      </c>
      <c r="E18" s="22"/>
      <c r="F18" s="25" t="str">
        <f aca="false">IF(E18="","",IFERROR(INDEX(Employees!$B$5:$B$200,MATCH(E18,Employees!$A$5:$A$200,0)),"ID not found"))</f>
        <v/>
      </c>
      <c r="G18" s="25" t="str">
        <f aca="false">IF(E18="","",IFERROR(INDEX(Employees!$I$5:$I$200,MATCH(E18,Employees!$A$5:$A$200,0)),"not found"))</f>
        <v/>
      </c>
      <c r="H18" s="25" t="str">
        <f aca="false">IF(E18="","",COUNTIF(Employees!$J$5:$J$200,E18))</f>
        <v/>
      </c>
      <c r="I18" s="25" t="str">
        <f aca="false">IF(E18="","",IF(H18&gt;=Lists!$E$10,"At capacity","OK"))</f>
        <v/>
      </c>
      <c r="J18" s="23" t="str">
        <f aca="false">IF(B18="","",IF(G18="not found","Invalid: coach ID not found",IF(B18=E18,"Invalid: self-coach",IF(G18&lt;&gt;"active","Invalid: coach inactive",IF(D18=E18,"Invalid: already assigned",IF(I18="At capacity","Invalid: at capacity","OK"))))))</f>
        <v/>
      </c>
      <c r="K18" s="22"/>
      <c r="L18" s="22"/>
    </row>
    <row r="19" customFormat="false" ht="15" hidden="false" customHeight="false" outlineLevel="0" collapsed="false">
      <c r="A19" s="24"/>
      <c r="B19" s="22"/>
      <c r="C19" s="25" t="str">
        <f aca="false">IF(B19="","",IFERROR(INDEX(Employees!$B$5:$B$200,MATCH(B19,Employees!$A$5:$A$200,0)),"ID not found"))</f>
        <v/>
      </c>
      <c r="D19" s="25" t="str">
        <f aca="false">IF(B19="","",IFERROR(INDEX(Employees!$J$5:$J$200,MATCH(B19,Employees!$A$5:$A$200,0))&amp;"","ID not found"))</f>
        <v/>
      </c>
      <c r="E19" s="22"/>
      <c r="F19" s="25" t="str">
        <f aca="false">IF(E19="","",IFERROR(INDEX(Employees!$B$5:$B$200,MATCH(E19,Employees!$A$5:$A$200,0)),"ID not found"))</f>
        <v/>
      </c>
      <c r="G19" s="25" t="str">
        <f aca="false">IF(E19="","",IFERROR(INDEX(Employees!$I$5:$I$200,MATCH(E19,Employees!$A$5:$A$200,0)),"not found"))</f>
        <v/>
      </c>
      <c r="H19" s="25" t="str">
        <f aca="false">IF(E19="","",COUNTIF(Employees!$J$5:$J$200,E19))</f>
        <v/>
      </c>
      <c r="I19" s="25" t="str">
        <f aca="false">IF(E19="","",IF(H19&gt;=Lists!$E$10,"At capacity","OK"))</f>
        <v/>
      </c>
      <c r="J19" s="23" t="str">
        <f aca="false">IF(B19="","",IF(G19="not found","Invalid: coach ID not found",IF(B19=E19,"Invalid: self-coach",IF(G19&lt;&gt;"active","Invalid: coach inactive",IF(D19=E19,"Invalid: already assigned",IF(I19="At capacity","Invalid: at capacity","OK"))))))</f>
        <v/>
      </c>
      <c r="K19" s="22"/>
      <c r="L19" s="22"/>
    </row>
    <row r="20" customFormat="false" ht="15" hidden="false" customHeight="false" outlineLevel="0" collapsed="false">
      <c r="A20" s="24"/>
      <c r="B20" s="22"/>
      <c r="C20" s="25" t="str">
        <f aca="false">IF(B20="","",IFERROR(INDEX(Employees!$B$5:$B$200,MATCH(B20,Employees!$A$5:$A$200,0)),"ID not found"))</f>
        <v/>
      </c>
      <c r="D20" s="25" t="str">
        <f aca="false">IF(B20="","",IFERROR(INDEX(Employees!$J$5:$J$200,MATCH(B20,Employees!$A$5:$A$200,0))&amp;"","ID not found"))</f>
        <v/>
      </c>
      <c r="E20" s="22"/>
      <c r="F20" s="25" t="str">
        <f aca="false">IF(E20="","",IFERROR(INDEX(Employees!$B$5:$B$200,MATCH(E20,Employees!$A$5:$A$200,0)),"ID not found"))</f>
        <v/>
      </c>
      <c r="G20" s="25" t="str">
        <f aca="false">IF(E20="","",IFERROR(INDEX(Employees!$I$5:$I$200,MATCH(E20,Employees!$A$5:$A$200,0)),"not found"))</f>
        <v/>
      </c>
      <c r="H20" s="25" t="str">
        <f aca="false">IF(E20="","",COUNTIF(Employees!$J$5:$J$200,E20))</f>
        <v/>
      </c>
      <c r="I20" s="25" t="str">
        <f aca="false">IF(E20="","",IF(H20&gt;=Lists!$E$10,"At capacity","OK"))</f>
        <v/>
      </c>
      <c r="J20" s="23" t="str">
        <f aca="false">IF(B20="","",IF(G20="not found","Invalid: coach ID not found",IF(B20=E20,"Invalid: self-coach",IF(G20&lt;&gt;"active","Invalid: coach inactive",IF(D20=E20,"Invalid: already assigned",IF(I20="At capacity","Invalid: at capacity","OK"))))))</f>
        <v/>
      </c>
      <c r="K20" s="22"/>
      <c r="L20" s="22"/>
    </row>
    <row r="21" customFormat="false" ht="15" hidden="false" customHeight="false" outlineLevel="0" collapsed="false">
      <c r="A21" s="24"/>
      <c r="B21" s="22"/>
      <c r="C21" s="25" t="str">
        <f aca="false">IF(B21="","",IFERROR(INDEX(Employees!$B$5:$B$200,MATCH(B21,Employees!$A$5:$A$200,0)),"ID not found"))</f>
        <v/>
      </c>
      <c r="D21" s="25" t="str">
        <f aca="false">IF(B21="","",IFERROR(INDEX(Employees!$J$5:$J$200,MATCH(B21,Employees!$A$5:$A$200,0))&amp;"","ID not found"))</f>
        <v/>
      </c>
      <c r="E21" s="22"/>
      <c r="F21" s="25" t="str">
        <f aca="false">IF(E21="","",IFERROR(INDEX(Employees!$B$5:$B$200,MATCH(E21,Employees!$A$5:$A$200,0)),"ID not found"))</f>
        <v/>
      </c>
      <c r="G21" s="25" t="str">
        <f aca="false">IF(E21="","",IFERROR(INDEX(Employees!$I$5:$I$200,MATCH(E21,Employees!$A$5:$A$200,0)),"not found"))</f>
        <v/>
      </c>
      <c r="H21" s="25" t="str">
        <f aca="false">IF(E21="","",COUNTIF(Employees!$J$5:$J$200,E21))</f>
        <v/>
      </c>
      <c r="I21" s="25" t="str">
        <f aca="false">IF(E21="","",IF(H21&gt;=Lists!$E$10,"At capacity","OK"))</f>
        <v/>
      </c>
      <c r="J21" s="23" t="str">
        <f aca="false">IF(B21="","",IF(G21="not found","Invalid: coach ID not found",IF(B21=E21,"Invalid: self-coach",IF(G21&lt;&gt;"active","Invalid: coach inactive",IF(D21=E21,"Invalid: already assigned",IF(I21="At capacity","Invalid: at capacity","OK"))))))</f>
        <v/>
      </c>
      <c r="K21" s="22"/>
      <c r="L21" s="22"/>
    </row>
    <row r="22" customFormat="false" ht="15" hidden="false" customHeight="false" outlineLevel="0" collapsed="false">
      <c r="A22" s="24"/>
      <c r="B22" s="22"/>
      <c r="C22" s="25" t="str">
        <f aca="false">IF(B22="","",IFERROR(INDEX(Employees!$B$5:$B$200,MATCH(B22,Employees!$A$5:$A$200,0)),"ID not found"))</f>
        <v/>
      </c>
      <c r="D22" s="25" t="str">
        <f aca="false">IF(B22="","",IFERROR(INDEX(Employees!$J$5:$J$200,MATCH(B22,Employees!$A$5:$A$200,0))&amp;"","ID not found"))</f>
        <v/>
      </c>
      <c r="E22" s="22"/>
      <c r="F22" s="25" t="str">
        <f aca="false">IF(E22="","",IFERROR(INDEX(Employees!$B$5:$B$200,MATCH(E22,Employees!$A$5:$A$200,0)),"ID not found"))</f>
        <v/>
      </c>
      <c r="G22" s="25" t="str">
        <f aca="false">IF(E22="","",IFERROR(INDEX(Employees!$I$5:$I$200,MATCH(E22,Employees!$A$5:$A$200,0)),"not found"))</f>
        <v/>
      </c>
      <c r="H22" s="25" t="str">
        <f aca="false">IF(E22="","",COUNTIF(Employees!$J$5:$J$200,E22))</f>
        <v/>
      </c>
      <c r="I22" s="25" t="str">
        <f aca="false">IF(E22="","",IF(H22&gt;=Lists!$E$10,"At capacity","OK"))</f>
        <v/>
      </c>
      <c r="J22" s="23" t="str">
        <f aca="false">IF(B22="","",IF(G22="not found","Invalid: coach ID not found",IF(B22=E22,"Invalid: self-coach",IF(G22&lt;&gt;"active","Invalid: coach inactive",IF(D22=E22,"Invalid: already assigned",IF(I22="At capacity","Invalid: at capacity","OK"))))))</f>
        <v/>
      </c>
      <c r="K22" s="22"/>
      <c r="L22" s="22"/>
    </row>
    <row r="23" customFormat="false" ht="15" hidden="false" customHeight="false" outlineLevel="0" collapsed="false">
      <c r="A23" s="24"/>
      <c r="B23" s="22"/>
      <c r="C23" s="25" t="str">
        <f aca="false">IF(B23="","",IFERROR(INDEX(Employees!$B$5:$B$200,MATCH(B23,Employees!$A$5:$A$200,0)),"ID not found"))</f>
        <v/>
      </c>
      <c r="D23" s="25" t="str">
        <f aca="false">IF(B23="","",IFERROR(INDEX(Employees!$J$5:$J$200,MATCH(B23,Employees!$A$5:$A$200,0))&amp;"","ID not found"))</f>
        <v/>
      </c>
      <c r="E23" s="22"/>
      <c r="F23" s="25" t="str">
        <f aca="false">IF(E23="","",IFERROR(INDEX(Employees!$B$5:$B$200,MATCH(E23,Employees!$A$5:$A$200,0)),"ID not found"))</f>
        <v/>
      </c>
      <c r="G23" s="25" t="str">
        <f aca="false">IF(E23="","",IFERROR(INDEX(Employees!$I$5:$I$200,MATCH(E23,Employees!$A$5:$A$200,0)),"not found"))</f>
        <v/>
      </c>
      <c r="H23" s="25" t="str">
        <f aca="false">IF(E23="","",COUNTIF(Employees!$J$5:$J$200,E23))</f>
        <v/>
      </c>
      <c r="I23" s="25" t="str">
        <f aca="false">IF(E23="","",IF(H23&gt;=Lists!$E$10,"At capacity","OK"))</f>
        <v/>
      </c>
      <c r="J23" s="23" t="str">
        <f aca="false">IF(B23="","",IF(G23="not found","Invalid: coach ID not found",IF(B23=E23,"Invalid: self-coach",IF(G23&lt;&gt;"active","Invalid: coach inactive",IF(D23=E23,"Invalid: already assigned",IF(I23="At capacity","Invalid: at capacity","OK"))))))</f>
        <v/>
      </c>
      <c r="K23" s="22"/>
      <c r="L23" s="22"/>
    </row>
    <row r="24" customFormat="false" ht="15" hidden="false" customHeight="false" outlineLevel="0" collapsed="false">
      <c r="A24" s="24"/>
      <c r="B24" s="22"/>
      <c r="C24" s="25" t="str">
        <f aca="false">IF(B24="","",IFERROR(INDEX(Employees!$B$5:$B$200,MATCH(B24,Employees!$A$5:$A$200,0)),"ID not found"))</f>
        <v/>
      </c>
      <c r="D24" s="25" t="str">
        <f aca="false">IF(B24="","",IFERROR(INDEX(Employees!$J$5:$J$200,MATCH(B24,Employees!$A$5:$A$200,0))&amp;"","ID not found"))</f>
        <v/>
      </c>
      <c r="E24" s="22"/>
      <c r="F24" s="25" t="str">
        <f aca="false">IF(E24="","",IFERROR(INDEX(Employees!$B$5:$B$200,MATCH(E24,Employees!$A$5:$A$200,0)),"ID not found"))</f>
        <v/>
      </c>
      <c r="G24" s="25" t="str">
        <f aca="false">IF(E24="","",IFERROR(INDEX(Employees!$I$5:$I$200,MATCH(E24,Employees!$A$5:$A$200,0)),"not found"))</f>
        <v/>
      </c>
      <c r="H24" s="25" t="str">
        <f aca="false">IF(E24="","",COUNTIF(Employees!$J$5:$J$200,E24))</f>
        <v/>
      </c>
      <c r="I24" s="25" t="str">
        <f aca="false">IF(E24="","",IF(H24&gt;=Lists!$E$10,"At capacity","OK"))</f>
        <v/>
      </c>
      <c r="J24" s="23" t="str">
        <f aca="false">IF(B24="","",IF(G24="not found","Invalid: coach ID not found",IF(B24=E24,"Invalid: self-coach",IF(G24&lt;&gt;"active","Invalid: coach inactive",IF(D24=E24,"Invalid: already assigned",IF(I24="At capacity","Invalid: at capacity","OK"))))))</f>
        <v/>
      </c>
      <c r="K24" s="22"/>
      <c r="L24" s="22"/>
    </row>
    <row r="25" customFormat="false" ht="15" hidden="false" customHeight="false" outlineLevel="0" collapsed="false">
      <c r="A25" s="24"/>
      <c r="B25" s="22"/>
      <c r="C25" s="25" t="str">
        <f aca="false">IF(B25="","",IFERROR(INDEX(Employees!$B$5:$B$200,MATCH(B25,Employees!$A$5:$A$200,0)),"ID not found"))</f>
        <v/>
      </c>
      <c r="D25" s="25" t="str">
        <f aca="false">IF(B25="","",IFERROR(INDEX(Employees!$J$5:$J$200,MATCH(B25,Employees!$A$5:$A$200,0))&amp;"","ID not found"))</f>
        <v/>
      </c>
      <c r="E25" s="22"/>
      <c r="F25" s="25" t="str">
        <f aca="false">IF(E25="","",IFERROR(INDEX(Employees!$B$5:$B$200,MATCH(E25,Employees!$A$5:$A$200,0)),"ID not found"))</f>
        <v/>
      </c>
      <c r="G25" s="25" t="str">
        <f aca="false">IF(E25="","",IFERROR(INDEX(Employees!$I$5:$I$200,MATCH(E25,Employees!$A$5:$A$200,0)),"not found"))</f>
        <v/>
      </c>
      <c r="H25" s="25" t="str">
        <f aca="false">IF(E25="","",COUNTIF(Employees!$J$5:$J$200,E25))</f>
        <v/>
      </c>
      <c r="I25" s="25" t="str">
        <f aca="false">IF(E25="","",IF(H25&gt;=Lists!$E$10,"At capacity","OK"))</f>
        <v/>
      </c>
      <c r="J25" s="23" t="str">
        <f aca="false">IF(B25="","",IF(G25="not found","Invalid: coach ID not found",IF(B25=E25,"Invalid: self-coach",IF(G25&lt;&gt;"active","Invalid: coach inactive",IF(D25=E25,"Invalid: already assigned",IF(I25="At capacity","Invalid: at capacity","OK"))))))</f>
        <v/>
      </c>
      <c r="K25" s="22"/>
      <c r="L25" s="22"/>
    </row>
    <row r="26" customFormat="false" ht="15" hidden="false" customHeight="false" outlineLevel="0" collapsed="false">
      <c r="A26" s="24"/>
      <c r="B26" s="22"/>
      <c r="C26" s="25" t="str">
        <f aca="false">IF(B26="","",IFERROR(INDEX(Employees!$B$5:$B$200,MATCH(B26,Employees!$A$5:$A$200,0)),"ID not found"))</f>
        <v/>
      </c>
      <c r="D26" s="25" t="str">
        <f aca="false">IF(B26="","",IFERROR(INDEX(Employees!$J$5:$J$200,MATCH(B26,Employees!$A$5:$A$200,0))&amp;"","ID not found"))</f>
        <v/>
      </c>
      <c r="E26" s="22"/>
      <c r="F26" s="25" t="str">
        <f aca="false">IF(E26="","",IFERROR(INDEX(Employees!$B$5:$B$200,MATCH(E26,Employees!$A$5:$A$200,0)),"ID not found"))</f>
        <v/>
      </c>
      <c r="G26" s="25" t="str">
        <f aca="false">IF(E26="","",IFERROR(INDEX(Employees!$I$5:$I$200,MATCH(E26,Employees!$A$5:$A$200,0)),"not found"))</f>
        <v/>
      </c>
      <c r="H26" s="25" t="str">
        <f aca="false">IF(E26="","",COUNTIF(Employees!$J$5:$J$200,E26))</f>
        <v/>
      </c>
      <c r="I26" s="25" t="str">
        <f aca="false">IF(E26="","",IF(H26&gt;=Lists!$E$10,"At capacity","OK"))</f>
        <v/>
      </c>
      <c r="J26" s="23" t="str">
        <f aca="false">IF(B26="","",IF(G26="not found","Invalid: coach ID not found",IF(B26=E26,"Invalid: self-coach",IF(G26&lt;&gt;"active","Invalid: coach inactive",IF(D26=E26,"Invalid: already assigned",IF(I26="At capacity","Invalid: at capacity","OK"))))))</f>
        <v/>
      </c>
      <c r="K26" s="22"/>
      <c r="L26" s="22"/>
    </row>
    <row r="27" customFormat="false" ht="15" hidden="false" customHeight="false" outlineLevel="0" collapsed="false">
      <c r="A27" s="24"/>
      <c r="B27" s="22"/>
      <c r="C27" s="25" t="str">
        <f aca="false">IF(B27="","",IFERROR(INDEX(Employees!$B$5:$B$200,MATCH(B27,Employees!$A$5:$A$200,0)),"ID not found"))</f>
        <v/>
      </c>
      <c r="D27" s="25" t="str">
        <f aca="false">IF(B27="","",IFERROR(INDEX(Employees!$J$5:$J$200,MATCH(B27,Employees!$A$5:$A$200,0))&amp;"","ID not found"))</f>
        <v/>
      </c>
      <c r="E27" s="22"/>
      <c r="F27" s="25" t="str">
        <f aca="false">IF(E27="","",IFERROR(INDEX(Employees!$B$5:$B$200,MATCH(E27,Employees!$A$5:$A$200,0)),"ID not found"))</f>
        <v/>
      </c>
      <c r="G27" s="25" t="str">
        <f aca="false">IF(E27="","",IFERROR(INDEX(Employees!$I$5:$I$200,MATCH(E27,Employees!$A$5:$A$200,0)),"not found"))</f>
        <v/>
      </c>
      <c r="H27" s="25" t="str">
        <f aca="false">IF(E27="","",COUNTIF(Employees!$J$5:$J$200,E27))</f>
        <v/>
      </c>
      <c r="I27" s="25" t="str">
        <f aca="false">IF(E27="","",IF(H27&gt;=Lists!$E$10,"At capacity","OK"))</f>
        <v/>
      </c>
      <c r="J27" s="23" t="str">
        <f aca="false">IF(B27="","",IF(G27="not found","Invalid: coach ID not found",IF(B27=E27,"Invalid: self-coach",IF(G27&lt;&gt;"active","Invalid: coach inactive",IF(D27=E27,"Invalid: already assigned",IF(I27="At capacity","Invalid: at capacity","OK"))))))</f>
        <v/>
      </c>
      <c r="K27" s="22"/>
      <c r="L27" s="22"/>
    </row>
    <row r="28" customFormat="false" ht="15" hidden="false" customHeight="false" outlineLevel="0" collapsed="false">
      <c r="A28" s="24"/>
      <c r="B28" s="22"/>
      <c r="C28" s="25" t="str">
        <f aca="false">IF(B28="","",IFERROR(INDEX(Employees!$B$5:$B$200,MATCH(B28,Employees!$A$5:$A$200,0)),"ID not found"))</f>
        <v/>
      </c>
      <c r="D28" s="25" t="str">
        <f aca="false">IF(B28="","",IFERROR(INDEX(Employees!$J$5:$J$200,MATCH(B28,Employees!$A$5:$A$200,0))&amp;"","ID not found"))</f>
        <v/>
      </c>
      <c r="E28" s="22"/>
      <c r="F28" s="25" t="str">
        <f aca="false">IF(E28="","",IFERROR(INDEX(Employees!$B$5:$B$200,MATCH(E28,Employees!$A$5:$A$200,0)),"ID not found"))</f>
        <v/>
      </c>
      <c r="G28" s="25" t="str">
        <f aca="false">IF(E28="","",IFERROR(INDEX(Employees!$I$5:$I$200,MATCH(E28,Employees!$A$5:$A$200,0)),"not found"))</f>
        <v/>
      </c>
      <c r="H28" s="25" t="str">
        <f aca="false">IF(E28="","",COUNTIF(Employees!$J$5:$J$200,E28))</f>
        <v/>
      </c>
      <c r="I28" s="25" t="str">
        <f aca="false">IF(E28="","",IF(H28&gt;=Lists!$E$10,"At capacity","OK"))</f>
        <v/>
      </c>
      <c r="J28" s="23" t="str">
        <f aca="false">IF(B28="","",IF(G28="not found","Invalid: coach ID not found",IF(B28=E28,"Invalid: self-coach",IF(G28&lt;&gt;"active","Invalid: coach inactive",IF(D28=E28,"Invalid: already assigned",IF(I28="At capacity","Invalid: at capacity","OK"))))))</f>
        <v/>
      </c>
      <c r="K28" s="22"/>
      <c r="L28" s="22"/>
    </row>
    <row r="29" customFormat="false" ht="15" hidden="false" customHeight="false" outlineLevel="0" collapsed="false">
      <c r="A29" s="24"/>
      <c r="B29" s="22"/>
      <c r="C29" s="25" t="str">
        <f aca="false">IF(B29="","",IFERROR(INDEX(Employees!$B$5:$B$200,MATCH(B29,Employees!$A$5:$A$200,0)),"ID not found"))</f>
        <v/>
      </c>
      <c r="D29" s="25" t="str">
        <f aca="false">IF(B29="","",IFERROR(INDEX(Employees!$J$5:$J$200,MATCH(B29,Employees!$A$5:$A$200,0))&amp;"","ID not found"))</f>
        <v/>
      </c>
      <c r="E29" s="22"/>
      <c r="F29" s="25" t="str">
        <f aca="false">IF(E29="","",IFERROR(INDEX(Employees!$B$5:$B$200,MATCH(E29,Employees!$A$5:$A$200,0)),"ID not found"))</f>
        <v/>
      </c>
      <c r="G29" s="25" t="str">
        <f aca="false">IF(E29="","",IFERROR(INDEX(Employees!$I$5:$I$200,MATCH(E29,Employees!$A$5:$A$200,0)),"not found"))</f>
        <v/>
      </c>
      <c r="H29" s="25" t="str">
        <f aca="false">IF(E29="","",COUNTIF(Employees!$J$5:$J$200,E29))</f>
        <v/>
      </c>
      <c r="I29" s="25" t="str">
        <f aca="false">IF(E29="","",IF(H29&gt;=Lists!$E$10,"At capacity","OK"))</f>
        <v/>
      </c>
      <c r="J29" s="23" t="str">
        <f aca="false">IF(B29="","",IF(G29="not found","Invalid: coach ID not found",IF(B29=E29,"Invalid: self-coach",IF(G29&lt;&gt;"active","Invalid: coach inactive",IF(D29=E29,"Invalid: already assigned",IF(I29="At capacity","Invalid: at capacity","OK"))))))</f>
        <v/>
      </c>
      <c r="K29" s="22"/>
      <c r="L29" s="22"/>
    </row>
    <row r="30" customFormat="false" ht="15" hidden="false" customHeight="false" outlineLevel="0" collapsed="false">
      <c r="A30" s="24"/>
      <c r="B30" s="22"/>
      <c r="C30" s="25" t="str">
        <f aca="false">IF(B30="","",IFERROR(INDEX(Employees!$B$5:$B$200,MATCH(B30,Employees!$A$5:$A$200,0)),"ID not found"))</f>
        <v/>
      </c>
      <c r="D30" s="25" t="str">
        <f aca="false">IF(B30="","",IFERROR(INDEX(Employees!$J$5:$J$200,MATCH(B30,Employees!$A$5:$A$200,0))&amp;"","ID not found"))</f>
        <v/>
      </c>
      <c r="E30" s="22"/>
      <c r="F30" s="25" t="str">
        <f aca="false">IF(E30="","",IFERROR(INDEX(Employees!$B$5:$B$200,MATCH(E30,Employees!$A$5:$A$200,0)),"ID not found"))</f>
        <v/>
      </c>
      <c r="G30" s="25" t="str">
        <f aca="false">IF(E30="","",IFERROR(INDEX(Employees!$I$5:$I$200,MATCH(E30,Employees!$A$5:$A$200,0)),"not found"))</f>
        <v/>
      </c>
      <c r="H30" s="25" t="str">
        <f aca="false">IF(E30="","",COUNTIF(Employees!$J$5:$J$200,E30))</f>
        <v/>
      </c>
      <c r="I30" s="25" t="str">
        <f aca="false">IF(E30="","",IF(H30&gt;=Lists!$E$10,"At capacity","OK"))</f>
        <v/>
      </c>
      <c r="J30" s="23" t="str">
        <f aca="false">IF(B30="","",IF(G30="not found","Invalid: coach ID not found",IF(B30=E30,"Invalid: self-coach",IF(G30&lt;&gt;"active","Invalid: coach inactive",IF(D30=E30,"Invalid: already assigned",IF(I30="At capacity","Invalid: at capacity","OK"))))))</f>
        <v/>
      </c>
      <c r="K30" s="22"/>
      <c r="L30" s="22"/>
    </row>
    <row r="31" customFormat="false" ht="15" hidden="false" customHeight="false" outlineLevel="0" collapsed="false">
      <c r="A31" s="24"/>
      <c r="B31" s="22"/>
      <c r="C31" s="25" t="str">
        <f aca="false">IF(B31="","",IFERROR(INDEX(Employees!$B$5:$B$200,MATCH(B31,Employees!$A$5:$A$200,0)),"ID not found"))</f>
        <v/>
      </c>
      <c r="D31" s="25" t="str">
        <f aca="false">IF(B31="","",IFERROR(INDEX(Employees!$J$5:$J$200,MATCH(B31,Employees!$A$5:$A$200,0))&amp;"","ID not found"))</f>
        <v/>
      </c>
      <c r="E31" s="22"/>
      <c r="F31" s="25" t="str">
        <f aca="false">IF(E31="","",IFERROR(INDEX(Employees!$B$5:$B$200,MATCH(E31,Employees!$A$5:$A$200,0)),"ID not found"))</f>
        <v/>
      </c>
      <c r="G31" s="25" t="str">
        <f aca="false">IF(E31="","",IFERROR(INDEX(Employees!$I$5:$I$200,MATCH(E31,Employees!$A$5:$A$200,0)),"not found"))</f>
        <v/>
      </c>
      <c r="H31" s="25" t="str">
        <f aca="false">IF(E31="","",COUNTIF(Employees!$J$5:$J$200,E31))</f>
        <v/>
      </c>
      <c r="I31" s="25" t="str">
        <f aca="false">IF(E31="","",IF(H31&gt;=Lists!$E$10,"At capacity","OK"))</f>
        <v/>
      </c>
      <c r="J31" s="23" t="str">
        <f aca="false">IF(B31="","",IF(G31="not found","Invalid: coach ID not found",IF(B31=E31,"Invalid: self-coach",IF(G31&lt;&gt;"active","Invalid: coach inactive",IF(D31=E31,"Invalid: already assigned",IF(I31="At capacity","Invalid: at capacity","OK"))))))</f>
        <v/>
      </c>
      <c r="K31" s="22"/>
      <c r="L31" s="22"/>
    </row>
    <row r="32" customFormat="false" ht="15" hidden="false" customHeight="false" outlineLevel="0" collapsed="false">
      <c r="A32" s="24"/>
      <c r="B32" s="22"/>
      <c r="C32" s="25" t="str">
        <f aca="false">IF(B32="","",IFERROR(INDEX(Employees!$B$5:$B$200,MATCH(B32,Employees!$A$5:$A$200,0)),"ID not found"))</f>
        <v/>
      </c>
      <c r="D32" s="25" t="str">
        <f aca="false">IF(B32="","",IFERROR(INDEX(Employees!$J$5:$J$200,MATCH(B32,Employees!$A$5:$A$200,0))&amp;"","ID not found"))</f>
        <v/>
      </c>
      <c r="E32" s="22"/>
      <c r="F32" s="25" t="str">
        <f aca="false">IF(E32="","",IFERROR(INDEX(Employees!$B$5:$B$200,MATCH(E32,Employees!$A$5:$A$200,0)),"ID not found"))</f>
        <v/>
      </c>
      <c r="G32" s="25" t="str">
        <f aca="false">IF(E32="","",IFERROR(INDEX(Employees!$I$5:$I$200,MATCH(E32,Employees!$A$5:$A$200,0)),"not found"))</f>
        <v/>
      </c>
      <c r="H32" s="25" t="str">
        <f aca="false">IF(E32="","",COUNTIF(Employees!$J$5:$J$200,E32))</f>
        <v/>
      </c>
      <c r="I32" s="25" t="str">
        <f aca="false">IF(E32="","",IF(H32&gt;=Lists!$E$10,"At capacity","OK"))</f>
        <v/>
      </c>
      <c r="J32" s="23" t="str">
        <f aca="false">IF(B32="","",IF(G32="not found","Invalid: coach ID not found",IF(B32=E32,"Invalid: self-coach",IF(G32&lt;&gt;"active","Invalid: coach inactive",IF(D32=E32,"Invalid: already assigned",IF(I32="At capacity","Invalid: at capacity","OK"))))))</f>
        <v/>
      </c>
      <c r="K32" s="22"/>
      <c r="L32" s="22"/>
    </row>
    <row r="33" customFormat="false" ht="15" hidden="false" customHeight="false" outlineLevel="0" collapsed="false">
      <c r="A33" s="24"/>
      <c r="B33" s="22"/>
      <c r="C33" s="25" t="str">
        <f aca="false">IF(B33="","",IFERROR(INDEX(Employees!$B$5:$B$200,MATCH(B33,Employees!$A$5:$A$200,0)),"ID not found"))</f>
        <v/>
      </c>
      <c r="D33" s="25" t="str">
        <f aca="false">IF(B33="","",IFERROR(INDEX(Employees!$J$5:$J$200,MATCH(B33,Employees!$A$5:$A$200,0))&amp;"","ID not found"))</f>
        <v/>
      </c>
      <c r="E33" s="22"/>
      <c r="F33" s="25" t="str">
        <f aca="false">IF(E33="","",IFERROR(INDEX(Employees!$B$5:$B$200,MATCH(E33,Employees!$A$5:$A$200,0)),"ID not found"))</f>
        <v/>
      </c>
      <c r="G33" s="25" t="str">
        <f aca="false">IF(E33="","",IFERROR(INDEX(Employees!$I$5:$I$200,MATCH(E33,Employees!$A$5:$A$200,0)),"not found"))</f>
        <v/>
      </c>
      <c r="H33" s="25" t="str">
        <f aca="false">IF(E33="","",COUNTIF(Employees!$J$5:$J$200,E33))</f>
        <v/>
      </c>
      <c r="I33" s="25" t="str">
        <f aca="false">IF(E33="","",IF(H33&gt;=Lists!$E$10,"At capacity","OK"))</f>
        <v/>
      </c>
      <c r="J33" s="23" t="str">
        <f aca="false">IF(B33="","",IF(G33="not found","Invalid: coach ID not found",IF(B33=E33,"Invalid: self-coach",IF(G33&lt;&gt;"active","Invalid: coach inactive",IF(D33=E33,"Invalid: already assigned",IF(I33="At capacity","Invalid: at capacity","OK"))))))</f>
        <v/>
      </c>
      <c r="K33" s="22"/>
      <c r="L33" s="22"/>
    </row>
    <row r="34" customFormat="false" ht="15" hidden="false" customHeight="false" outlineLevel="0" collapsed="false">
      <c r="A34" s="24"/>
      <c r="B34" s="22"/>
      <c r="C34" s="25" t="str">
        <f aca="false">IF(B34="","",IFERROR(INDEX(Employees!$B$5:$B$200,MATCH(B34,Employees!$A$5:$A$200,0)),"ID not found"))</f>
        <v/>
      </c>
      <c r="D34" s="25" t="str">
        <f aca="false">IF(B34="","",IFERROR(INDEX(Employees!$J$5:$J$200,MATCH(B34,Employees!$A$5:$A$200,0))&amp;"","ID not found"))</f>
        <v/>
      </c>
      <c r="E34" s="22"/>
      <c r="F34" s="25" t="str">
        <f aca="false">IF(E34="","",IFERROR(INDEX(Employees!$B$5:$B$200,MATCH(E34,Employees!$A$5:$A$200,0)),"ID not found"))</f>
        <v/>
      </c>
      <c r="G34" s="25" t="str">
        <f aca="false">IF(E34="","",IFERROR(INDEX(Employees!$I$5:$I$200,MATCH(E34,Employees!$A$5:$A$200,0)),"not found"))</f>
        <v/>
      </c>
      <c r="H34" s="25" t="str">
        <f aca="false">IF(E34="","",COUNTIF(Employees!$J$5:$J$200,E34))</f>
        <v/>
      </c>
      <c r="I34" s="25" t="str">
        <f aca="false">IF(E34="","",IF(H34&gt;=Lists!$E$10,"At capacity","OK"))</f>
        <v/>
      </c>
      <c r="J34" s="23" t="str">
        <f aca="false">IF(B34="","",IF(G34="not found","Invalid: coach ID not found",IF(B34=E34,"Invalid: self-coach",IF(G34&lt;&gt;"active","Invalid: coach inactive",IF(D34=E34,"Invalid: already assigned",IF(I34="At capacity","Invalid: at capacity","OK"))))))</f>
        <v/>
      </c>
      <c r="K34" s="22"/>
      <c r="L34" s="22"/>
    </row>
    <row r="35" customFormat="false" ht="15" hidden="false" customHeight="false" outlineLevel="0" collapsed="false">
      <c r="A35" s="24"/>
      <c r="B35" s="22"/>
      <c r="C35" s="25" t="str">
        <f aca="false">IF(B35="","",IFERROR(INDEX(Employees!$B$5:$B$200,MATCH(B35,Employees!$A$5:$A$200,0)),"ID not found"))</f>
        <v/>
      </c>
      <c r="D35" s="25" t="str">
        <f aca="false">IF(B35="","",IFERROR(INDEX(Employees!$J$5:$J$200,MATCH(B35,Employees!$A$5:$A$200,0))&amp;"","ID not found"))</f>
        <v/>
      </c>
      <c r="E35" s="22"/>
      <c r="F35" s="25" t="str">
        <f aca="false">IF(E35="","",IFERROR(INDEX(Employees!$B$5:$B$200,MATCH(E35,Employees!$A$5:$A$200,0)),"ID not found"))</f>
        <v/>
      </c>
      <c r="G35" s="25" t="str">
        <f aca="false">IF(E35="","",IFERROR(INDEX(Employees!$I$5:$I$200,MATCH(E35,Employees!$A$5:$A$200,0)),"not found"))</f>
        <v/>
      </c>
      <c r="H35" s="25" t="str">
        <f aca="false">IF(E35="","",COUNTIF(Employees!$J$5:$J$200,E35))</f>
        <v/>
      </c>
      <c r="I35" s="25" t="str">
        <f aca="false">IF(E35="","",IF(H35&gt;=Lists!$E$10,"At capacity","OK"))</f>
        <v/>
      </c>
      <c r="J35" s="23" t="str">
        <f aca="false">IF(B35="","",IF(G35="not found","Invalid: coach ID not found",IF(B35=E35,"Invalid: self-coach",IF(G35&lt;&gt;"active","Invalid: coach inactive",IF(D35=E35,"Invalid: already assigned",IF(I35="At capacity","Invalid: at capacity","OK"))))))</f>
        <v/>
      </c>
      <c r="K35" s="22"/>
      <c r="L35" s="22"/>
    </row>
    <row r="36" customFormat="false" ht="15" hidden="false" customHeight="false" outlineLevel="0" collapsed="false">
      <c r="A36" s="24"/>
      <c r="B36" s="22"/>
      <c r="C36" s="25" t="str">
        <f aca="false">IF(B36="","",IFERROR(INDEX(Employees!$B$5:$B$200,MATCH(B36,Employees!$A$5:$A$200,0)),"ID not found"))</f>
        <v/>
      </c>
      <c r="D36" s="25" t="str">
        <f aca="false">IF(B36="","",IFERROR(INDEX(Employees!$J$5:$J$200,MATCH(B36,Employees!$A$5:$A$200,0))&amp;"","ID not found"))</f>
        <v/>
      </c>
      <c r="E36" s="22"/>
      <c r="F36" s="25" t="str">
        <f aca="false">IF(E36="","",IFERROR(INDEX(Employees!$B$5:$B$200,MATCH(E36,Employees!$A$5:$A$200,0)),"ID not found"))</f>
        <v/>
      </c>
      <c r="G36" s="25" t="str">
        <f aca="false">IF(E36="","",IFERROR(INDEX(Employees!$I$5:$I$200,MATCH(E36,Employees!$A$5:$A$200,0)),"not found"))</f>
        <v/>
      </c>
      <c r="H36" s="25" t="str">
        <f aca="false">IF(E36="","",COUNTIF(Employees!$J$5:$J$200,E36))</f>
        <v/>
      </c>
      <c r="I36" s="25" t="str">
        <f aca="false">IF(E36="","",IF(H36&gt;=Lists!$E$10,"At capacity","OK"))</f>
        <v/>
      </c>
      <c r="J36" s="23" t="str">
        <f aca="false">IF(B36="","",IF(G36="not found","Invalid: coach ID not found",IF(B36=E36,"Invalid: self-coach",IF(G36&lt;&gt;"active","Invalid: coach inactive",IF(D36=E36,"Invalid: already assigned",IF(I36="At capacity","Invalid: at capacity","OK"))))))</f>
        <v/>
      </c>
      <c r="K36" s="22"/>
      <c r="L36" s="22"/>
    </row>
    <row r="37" customFormat="false" ht="15" hidden="false" customHeight="false" outlineLevel="0" collapsed="false">
      <c r="A37" s="24"/>
      <c r="B37" s="22"/>
      <c r="C37" s="25" t="str">
        <f aca="false">IF(B37="","",IFERROR(INDEX(Employees!$B$5:$B$200,MATCH(B37,Employees!$A$5:$A$200,0)),"ID not found"))</f>
        <v/>
      </c>
      <c r="D37" s="25" t="str">
        <f aca="false">IF(B37="","",IFERROR(INDEX(Employees!$J$5:$J$200,MATCH(B37,Employees!$A$5:$A$200,0))&amp;"","ID not found"))</f>
        <v/>
      </c>
      <c r="E37" s="22"/>
      <c r="F37" s="25" t="str">
        <f aca="false">IF(E37="","",IFERROR(INDEX(Employees!$B$5:$B$200,MATCH(E37,Employees!$A$5:$A$200,0)),"ID not found"))</f>
        <v/>
      </c>
      <c r="G37" s="25" t="str">
        <f aca="false">IF(E37="","",IFERROR(INDEX(Employees!$I$5:$I$200,MATCH(E37,Employees!$A$5:$A$200,0)),"not found"))</f>
        <v/>
      </c>
      <c r="H37" s="25" t="str">
        <f aca="false">IF(E37="","",COUNTIF(Employees!$J$5:$J$200,E37))</f>
        <v/>
      </c>
      <c r="I37" s="25" t="str">
        <f aca="false">IF(E37="","",IF(H37&gt;=Lists!$E$10,"At capacity","OK"))</f>
        <v/>
      </c>
      <c r="J37" s="23" t="str">
        <f aca="false">IF(B37="","",IF(G37="not found","Invalid: coach ID not found",IF(B37=E37,"Invalid: self-coach",IF(G37&lt;&gt;"active","Invalid: coach inactive",IF(D37=E37,"Invalid: already assigned",IF(I37="At capacity","Invalid: at capacity","OK"))))))</f>
        <v/>
      </c>
      <c r="K37" s="22"/>
      <c r="L37" s="22"/>
    </row>
    <row r="38" customFormat="false" ht="15" hidden="false" customHeight="false" outlineLevel="0" collapsed="false">
      <c r="A38" s="24"/>
      <c r="B38" s="22"/>
      <c r="C38" s="25" t="str">
        <f aca="false">IF(B38="","",IFERROR(INDEX(Employees!$B$5:$B$200,MATCH(B38,Employees!$A$5:$A$200,0)),"ID not found"))</f>
        <v/>
      </c>
      <c r="D38" s="25" t="str">
        <f aca="false">IF(B38="","",IFERROR(INDEX(Employees!$J$5:$J$200,MATCH(B38,Employees!$A$5:$A$200,0))&amp;"","ID not found"))</f>
        <v/>
      </c>
      <c r="E38" s="22"/>
      <c r="F38" s="25" t="str">
        <f aca="false">IF(E38="","",IFERROR(INDEX(Employees!$B$5:$B$200,MATCH(E38,Employees!$A$5:$A$200,0)),"ID not found"))</f>
        <v/>
      </c>
      <c r="G38" s="25" t="str">
        <f aca="false">IF(E38="","",IFERROR(INDEX(Employees!$I$5:$I$200,MATCH(E38,Employees!$A$5:$A$200,0)),"not found"))</f>
        <v/>
      </c>
      <c r="H38" s="25" t="str">
        <f aca="false">IF(E38="","",COUNTIF(Employees!$J$5:$J$200,E38))</f>
        <v/>
      </c>
      <c r="I38" s="25" t="str">
        <f aca="false">IF(E38="","",IF(H38&gt;=Lists!$E$10,"At capacity","OK"))</f>
        <v/>
      </c>
      <c r="J38" s="23" t="str">
        <f aca="false">IF(B38="","",IF(G38="not found","Invalid: coach ID not found",IF(B38=E38,"Invalid: self-coach",IF(G38&lt;&gt;"active","Invalid: coach inactive",IF(D38=E38,"Invalid: already assigned",IF(I38="At capacity","Invalid: at capacity","OK"))))))</f>
        <v/>
      </c>
      <c r="K38" s="22"/>
      <c r="L38" s="22"/>
    </row>
    <row r="39" customFormat="false" ht="15" hidden="false" customHeight="false" outlineLevel="0" collapsed="false">
      <c r="A39" s="24"/>
      <c r="B39" s="22"/>
      <c r="C39" s="25" t="str">
        <f aca="false">IF(B39="","",IFERROR(INDEX(Employees!$B$5:$B$200,MATCH(B39,Employees!$A$5:$A$200,0)),"ID not found"))</f>
        <v/>
      </c>
      <c r="D39" s="25" t="str">
        <f aca="false">IF(B39="","",IFERROR(INDEX(Employees!$J$5:$J$200,MATCH(B39,Employees!$A$5:$A$200,0))&amp;"","ID not found"))</f>
        <v/>
      </c>
      <c r="E39" s="22"/>
      <c r="F39" s="25" t="str">
        <f aca="false">IF(E39="","",IFERROR(INDEX(Employees!$B$5:$B$200,MATCH(E39,Employees!$A$5:$A$200,0)),"ID not found"))</f>
        <v/>
      </c>
      <c r="G39" s="25" t="str">
        <f aca="false">IF(E39="","",IFERROR(INDEX(Employees!$I$5:$I$200,MATCH(E39,Employees!$A$5:$A$200,0)),"not found"))</f>
        <v/>
      </c>
      <c r="H39" s="25" t="str">
        <f aca="false">IF(E39="","",COUNTIF(Employees!$J$5:$J$200,E39))</f>
        <v/>
      </c>
      <c r="I39" s="25" t="str">
        <f aca="false">IF(E39="","",IF(H39&gt;=Lists!$E$10,"At capacity","OK"))</f>
        <v/>
      </c>
      <c r="J39" s="23" t="str">
        <f aca="false">IF(B39="","",IF(G39="not found","Invalid: coach ID not found",IF(B39=E39,"Invalid: self-coach",IF(G39&lt;&gt;"active","Invalid: coach inactive",IF(D39=E39,"Invalid: already assigned",IF(I39="At capacity","Invalid: at capacity","OK"))))))</f>
        <v/>
      </c>
      <c r="K39" s="22"/>
      <c r="L39" s="22"/>
    </row>
    <row r="40" customFormat="false" ht="15" hidden="false" customHeight="false" outlineLevel="0" collapsed="false">
      <c r="A40" s="24"/>
      <c r="B40" s="22"/>
      <c r="C40" s="25" t="str">
        <f aca="false">IF(B40="","",IFERROR(INDEX(Employees!$B$5:$B$200,MATCH(B40,Employees!$A$5:$A$200,0)),"ID not found"))</f>
        <v/>
      </c>
      <c r="D40" s="25" t="str">
        <f aca="false">IF(B40="","",IFERROR(INDEX(Employees!$J$5:$J$200,MATCH(B40,Employees!$A$5:$A$200,0))&amp;"","ID not found"))</f>
        <v/>
      </c>
      <c r="E40" s="22"/>
      <c r="F40" s="25" t="str">
        <f aca="false">IF(E40="","",IFERROR(INDEX(Employees!$B$5:$B$200,MATCH(E40,Employees!$A$5:$A$200,0)),"ID not found"))</f>
        <v/>
      </c>
      <c r="G40" s="25" t="str">
        <f aca="false">IF(E40="","",IFERROR(INDEX(Employees!$I$5:$I$200,MATCH(E40,Employees!$A$5:$A$200,0)),"not found"))</f>
        <v/>
      </c>
      <c r="H40" s="25" t="str">
        <f aca="false">IF(E40="","",COUNTIF(Employees!$J$5:$J$200,E40))</f>
        <v/>
      </c>
      <c r="I40" s="25" t="str">
        <f aca="false">IF(E40="","",IF(H40&gt;=Lists!$E$10,"At capacity","OK"))</f>
        <v/>
      </c>
      <c r="J40" s="23" t="str">
        <f aca="false">IF(B40="","",IF(G40="not found","Invalid: coach ID not found",IF(B40=E40,"Invalid: self-coach",IF(G40&lt;&gt;"active","Invalid: coach inactive",IF(D40=E40,"Invalid: already assigned",IF(I40="At capacity","Invalid: at capacity","OK"))))))</f>
        <v/>
      </c>
      <c r="K40" s="22"/>
      <c r="L40" s="22"/>
    </row>
    <row r="41" customFormat="false" ht="15" hidden="false" customHeight="false" outlineLevel="0" collapsed="false">
      <c r="A41" s="24"/>
      <c r="B41" s="22"/>
      <c r="C41" s="25" t="str">
        <f aca="false">IF(B41="","",IFERROR(INDEX(Employees!$B$5:$B$200,MATCH(B41,Employees!$A$5:$A$200,0)),"ID not found"))</f>
        <v/>
      </c>
      <c r="D41" s="25" t="str">
        <f aca="false">IF(B41="","",IFERROR(INDEX(Employees!$J$5:$J$200,MATCH(B41,Employees!$A$5:$A$200,0))&amp;"","ID not found"))</f>
        <v/>
      </c>
      <c r="E41" s="22"/>
      <c r="F41" s="25" t="str">
        <f aca="false">IF(E41="","",IFERROR(INDEX(Employees!$B$5:$B$200,MATCH(E41,Employees!$A$5:$A$200,0)),"ID not found"))</f>
        <v/>
      </c>
      <c r="G41" s="25" t="str">
        <f aca="false">IF(E41="","",IFERROR(INDEX(Employees!$I$5:$I$200,MATCH(E41,Employees!$A$5:$A$200,0)),"not found"))</f>
        <v/>
      </c>
      <c r="H41" s="25" t="str">
        <f aca="false">IF(E41="","",COUNTIF(Employees!$J$5:$J$200,E41))</f>
        <v/>
      </c>
      <c r="I41" s="25" t="str">
        <f aca="false">IF(E41="","",IF(H41&gt;=Lists!$E$10,"At capacity","OK"))</f>
        <v/>
      </c>
      <c r="J41" s="23" t="str">
        <f aca="false">IF(B41="","",IF(G41="not found","Invalid: coach ID not found",IF(B41=E41,"Invalid: self-coach",IF(G41&lt;&gt;"active","Invalid: coach inactive",IF(D41=E41,"Invalid: already assigned",IF(I41="At capacity","Invalid: at capacity","OK"))))))</f>
        <v/>
      </c>
      <c r="K41" s="22"/>
      <c r="L41" s="22"/>
    </row>
    <row r="42" customFormat="false" ht="15" hidden="false" customHeight="false" outlineLevel="0" collapsed="false">
      <c r="A42" s="24"/>
      <c r="B42" s="22"/>
      <c r="C42" s="25" t="str">
        <f aca="false">IF(B42="","",IFERROR(INDEX(Employees!$B$5:$B$200,MATCH(B42,Employees!$A$5:$A$200,0)),"ID not found"))</f>
        <v/>
      </c>
      <c r="D42" s="25" t="str">
        <f aca="false">IF(B42="","",IFERROR(INDEX(Employees!$J$5:$J$200,MATCH(B42,Employees!$A$5:$A$200,0))&amp;"","ID not found"))</f>
        <v/>
      </c>
      <c r="E42" s="22"/>
      <c r="F42" s="25" t="str">
        <f aca="false">IF(E42="","",IFERROR(INDEX(Employees!$B$5:$B$200,MATCH(E42,Employees!$A$5:$A$200,0)),"ID not found"))</f>
        <v/>
      </c>
      <c r="G42" s="25" t="str">
        <f aca="false">IF(E42="","",IFERROR(INDEX(Employees!$I$5:$I$200,MATCH(E42,Employees!$A$5:$A$200,0)),"not found"))</f>
        <v/>
      </c>
      <c r="H42" s="25" t="str">
        <f aca="false">IF(E42="","",COUNTIF(Employees!$J$5:$J$200,E42))</f>
        <v/>
      </c>
      <c r="I42" s="25" t="str">
        <f aca="false">IF(E42="","",IF(H42&gt;=Lists!$E$10,"At capacity","OK"))</f>
        <v/>
      </c>
      <c r="J42" s="23" t="str">
        <f aca="false">IF(B42="","",IF(G42="not found","Invalid: coach ID not found",IF(B42=E42,"Invalid: self-coach",IF(G42&lt;&gt;"active","Invalid: coach inactive",IF(D42=E42,"Invalid: already assigned",IF(I42="At capacity","Invalid: at capacity","OK"))))))</f>
        <v/>
      </c>
      <c r="K42" s="22"/>
      <c r="L42" s="22"/>
    </row>
    <row r="43" customFormat="false" ht="15" hidden="false" customHeight="false" outlineLevel="0" collapsed="false">
      <c r="A43" s="24"/>
      <c r="B43" s="22"/>
      <c r="C43" s="25" t="str">
        <f aca="false">IF(B43="","",IFERROR(INDEX(Employees!$B$5:$B$200,MATCH(B43,Employees!$A$5:$A$200,0)),"ID not found"))</f>
        <v/>
      </c>
      <c r="D43" s="25" t="str">
        <f aca="false">IF(B43="","",IFERROR(INDEX(Employees!$J$5:$J$200,MATCH(B43,Employees!$A$5:$A$200,0))&amp;"","ID not found"))</f>
        <v/>
      </c>
      <c r="E43" s="22"/>
      <c r="F43" s="25" t="str">
        <f aca="false">IF(E43="","",IFERROR(INDEX(Employees!$B$5:$B$200,MATCH(E43,Employees!$A$5:$A$200,0)),"ID not found"))</f>
        <v/>
      </c>
      <c r="G43" s="25" t="str">
        <f aca="false">IF(E43="","",IFERROR(INDEX(Employees!$I$5:$I$200,MATCH(E43,Employees!$A$5:$A$200,0)),"not found"))</f>
        <v/>
      </c>
      <c r="H43" s="25" t="str">
        <f aca="false">IF(E43="","",COUNTIF(Employees!$J$5:$J$200,E43))</f>
        <v/>
      </c>
      <c r="I43" s="25" t="str">
        <f aca="false">IF(E43="","",IF(H43&gt;=Lists!$E$10,"At capacity","OK"))</f>
        <v/>
      </c>
      <c r="J43" s="23" t="str">
        <f aca="false">IF(B43="","",IF(G43="not found","Invalid: coach ID not found",IF(B43=E43,"Invalid: self-coach",IF(G43&lt;&gt;"active","Invalid: coach inactive",IF(D43=E43,"Invalid: already assigned",IF(I43="At capacity","Invalid: at capacity","OK"))))))</f>
        <v/>
      </c>
      <c r="K43" s="22"/>
      <c r="L43" s="22"/>
    </row>
    <row r="44" customFormat="false" ht="15" hidden="false" customHeight="false" outlineLevel="0" collapsed="false">
      <c r="A44" s="24"/>
      <c r="B44" s="22"/>
      <c r="C44" s="25" t="str">
        <f aca="false">IF(B44="","",IFERROR(INDEX(Employees!$B$5:$B$200,MATCH(B44,Employees!$A$5:$A$200,0)),"ID not found"))</f>
        <v/>
      </c>
      <c r="D44" s="25" t="str">
        <f aca="false">IF(B44="","",IFERROR(INDEX(Employees!$J$5:$J$200,MATCH(B44,Employees!$A$5:$A$200,0))&amp;"","ID not found"))</f>
        <v/>
      </c>
      <c r="E44" s="22"/>
      <c r="F44" s="25" t="str">
        <f aca="false">IF(E44="","",IFERROR(INDEX(Employees!$B$5:$B$200,MATCH(E44,Employees!$A$5:$A$200,0)),"ID not found"))</f>
        <v/>
      </c>
      <c r="G44" s="25" t="str">
        <f aca="false">IF(E44="","",IFERROR(INDEX(Employees!$I$5:$I$200,MATCH(E44,Employees!$A$5:$A$200,0)),"not found"))</f>
        <v/>
      </c>
      <c r="H44" s="25" t="str">
        <f aca="false">IF(E44="","",COUNTIF(Employees!$J$5:$J$200,E44))</f>
        <v/>
      </c>
      <c r="I44" s="25" t="str">
        <f aca="false">IF(E44="","",IF(H44&gt;=Lists!$E$10,"At capacity","OK"))</f>
        <v/>
      </c>
      <c r="J44" s="23" t="str">
        <f aca="false">IF(B44="","",IF(G44="not found","Invalid: coach ID not found",IF(B44=E44,"Invalid: self-coach",IF(G44&lt;&gt;"active","Invalid: coach inactive",IF(D44=E44,"Invalid: already assigned",IF(I44="At capacity","Invalid: at capacity","OK"))))))</f>
        <v/>
      </c>
      <c r="K44" s="22"/>
      <c r="L44" s="22"/>
    </row>
    <row r="45" customFormat="false" ht="15" hidden="false" customHeight="false" outlineLevel="0" collapsed="false">
      <c r="A45" s="24"/>
      <c r="B45" s="22"/>
      <c r="C45" s="25" t="str">
        <f aca="false">IF(B45="","",IFERROR(INDEX(Employees!$B$5:$B$200,MATCH(B45,Employees!$A$5:$A$200,0)),"ID not found"))</f>
        <v/>
      </c>
      <c r="D45" s="25" t="str">
        <f aca="false">IF(B45="","",IFERROR(INDEX(Employees!$J$5:$J$200,MATCH(B45,Employees!$A$5:$A$200,0))&amp;"","ID not found"))</f>
        <v/>
      </c>
      <c r="E45" s="22"/>
      <c r="F45" s="25" t="str">
        <f aca="false">IF(E45="","",IFERROR(INDEX(Employees!$B$5:$B$200,MATCH(E45,Employees!$A$5:$A$200,0)),"ID not found"))</f>
        <v/>
      </c>
      <c r="G45" s="25" t="str">
        <f aca="false">IF(E45="","",IFERROR(INDEX(Employees!$I$5:$I$200,MATCH(E45,Employees!$A$5:$A$200,0)),"not found"))</f>
        <v/>
      </c>
      <c r="H45" s="25" t="str">
        <f aca="false">IF(E45="","",COUNTIF(Employees!$J$5:$J$200,E45))</f>
        <v/>
      </c>
      <c r="I45" s="25" t="str">
        <f aca="false">IF(E45="","",IF(H45&gt;=Lists!$E$10,"At capacity","OK"))</f>
        <v/>
      </c>
      <c r="J45" s="23" t="str">
        <f aca="false">IF(B45="","",IF(G45="not found","Invalid: coach ID not found",IF(B45=E45,"Invalid: self-coach",IF(G45&lt;&gt;"active","Invalid: coach inactive",IF(D45=E45,"Invalid: already assigned",IF(I45="At capacity","Invalid: at capacity","OK"))))))</f>
        <v/>
      </c>
      <c r="K45" s="22"/>
      <c r="L45" s="22"/>
    </row>
    <row r="46" customFormat="false" ht="15" hidden="false" customHeight="false" outlineLevel="0" collapsed="false">
      <c r="A46" s="24"/>
      <c r="B46" s="22"/>
      <c r="C46" s="25" t="str">
        <f aca="false">IF(B46="","",IFERROR(INDEX(Employees!$B$5:$B$200,MATCH(B46,Employees!$A$5:$A$200,0)),"ID not found"))</f>
        <v/>
      </c>
      <c r="D46" s="25" t="str">
        <f aca="false">IF(B46="","",IFERROR(INDEX(Employees!$J$5:$J$200,MATCH(B46,Employees!$A$5:$A$200,0))&amp;"","ID not found"))</f>
        <v/>
      </c>
      <c r="E46" s="22"/>
      <c r="F46" s="25" t="str">
        <f aca="false">IF(E46="","",IFERROR(INDEX(Employees!$B$5:$B$200,MATCH(E46,Employees!$A$5:$A$200,0)),"ID not found"))</f>
        <v/>
      </c>
      <c r="G46" s="25" t="str">
        <f aca="false">IF(E46="","",IFERROR(INDEX(Employees!$I$5:$I$200,MATCH(E46,Employees!$A$5:$A$200,0)),"not found"))</f>
        <v/>
      </c>
      <c r="H46" s="25" t="str">
        <f aca="false">IF(E46="","",COUNTIF(Employees!$J$5:$J$200,E46))</f>
        <v/>
      </c>
      <c r="I46" s="25" t="str">
        <f aca="false">IF(E46="","",IF(H46&gt;=Lists!$E$10,"At capacity","OK"))</f>
        <v/>
      </c>
      <c r="J46" s="23" t="str">
        <f aca="false">IF(B46="","",IF(G46="not found","Invalid: coach ID not found",IF(B46=E46,"Invalid: self-coach",IF(G46&lt;&gt;"active","Invalid: coach inactive",IF(D46=E46,"Invalid: already assigned",IF(I46="At capacity","Invalid: at capacity","OK"))))))</f>
        <v/>
      </c>
      <c r="K46" s="22"/>
      <c r="L46" s="22"/>
    </row>
    <row r="47" customFormat="false" ht="15" hidden="false" customHeight="false" outlineLevel="0" collapsed="false">
      <c r="A47" s="24"/>
      <c r="B47" s="22"/>
      <c r="C47" s="25" t="str">
        <f aca="false">IF(B47="","",IFERROR(INDEX(Employees!$B$5:$B$200,MATCH(B47,Employees!$A$5:$A$200,0)),"ID not found"))</f>
        <v/>
      </c>
      <c r="D47" s="25" t="str">
        <f aca="false">IF(B47="","",IFERROR(INDEX(Employees!$J$5:$J$200,MATCH(B47,Employees!$A$5:$A$200,0))&amp;"","ID not found"))</f>
        <v/>
      </c>
      <c r="E47" s="22"/>
      <c r="F47" s="25" t="str">
        <f aca="false">IF(E47="","",IFERROR(INDEX(Employees!$B$5:$B$200,MATCH(E47,Employees!$A$5:$A$200,0)),"ID not found"))</f>
        <v/>
      </c>
      <c r="G47" s="25" t="str">
        <f aca="false">IF(E47="","",IFERROR(INDEX(Employees!$I$5:$I$200,MATCH(E47,Employees!$A$5:$A$200,0)),"not found"))</f>
        <v/>
      </c>
      <c r="H47" s="25" t="str">
        <f aca="false">IF(E47="","",COUNTIF(Employees!$J$5:$J$200,E47))</f>
        <v/>
      </c>
      <c r="I47" s="25" t="str">
        <f aca="false">IF(E47="","",IF(H47&gt;=Lists!$E$10,"At capacity","OK"))</f>
        <v/>
      </c>
      <c r="J47" s="23" t="str">
        <f aca="false">IF(B47="","",IF(G47="not found","Invalid: coach ID not found",IF(B47=E47,"Invalid: self-coach",IF(G47&lt;&gt;"active","Invalid: coach inactive",IF(D47=E47,"Invalid: already assigned",IF(I47="At capacity","Invalid: at capacity","OK"))))))</f>
        <v/>
      </c>
      <c r="K47" s="22"/>
      <c r="L47" s="22"/>
    </row>
    <row r="48" customFormat="false" ht="15" hidden="false" customHeight="false" outlineLevel="0" collapsed="false">
      <c r="A48" s="24"/>
      <c r="B48" s="22"/>
      <c r="C48" s="25" t="str">
        <f aca="false">IF(B48="","",IFERROR(INDEX(Employees!$B$5:$B$200,MATCH(B48,Employees!$A$5:$A$200,0)),"ID not found"))</f>
        <v/>
      </c>
      <c r="D48" s="25" t="str">
        <f aca="false">IF(B48="","",IFERROR(INDEX(Employees!$J$5:$J$200,MATCH(B48,Employees!$A$5:$A$200,0))&amp;"","ID not found"))</f>
        <v/>
      </c>
      <c r="E48" s="22"/>
      <c r="F48" s="25" t="str">
        <f aca="false">IF(E48="","",IFERROR(INDEX(Employees!$B$5:$B$200,MATCH(E48,Employees!$A$5:$A$200,0)),"ID not found"))</f>
        <v/>
      </c>
      <c r="G48" s="25" t="str">
        <f aca="false">IF(E48="","",IFERROR(INDEX(Employees!$I$5:$I$200,MATCH(E48,Employees!$A$5:$A$200,0)),"not found"))</f>
        <v/>
      </c>
      <c r="H48" s="25" t="str">
        <f aca="false">IF(E48="","",COUNTIF(Employees!$J$5:$J$200,E48))</f>
        <v/>
      </c>
      <c r="I48" s="25" t="str">
        <f aca="false">IF(E48="","",IF(H48&gt;=Lists!$E$10,"At capacity","OK"))</f>
        <v/>
      </c>
      <c r="J48" s="23" t="str">
        <f aca="false">IF(B48="","",IF(G48="not found","Invalid: coach ID not found",IF(B48=E48,"Invalid: self-coach",IF(G48&lt;&gt;"active","Invalid: coach inactive",IF(D48=E48,"Invalid: already assigned",IF(I48="At capacity","Invalid: at capacity","OK"))))))</f>
        <v/>
      </c>
      <c r="K48" s="22"/>
      <c r="L48" s="22"/>
    </row>
    <row r="49" customFormat="false" ht="15" hidden="false" customHeight="false" outlineLevel="0" collapsed="false">
      <c r="A49" s="24"/>
      <c r="B49" s="22"/>
      <c r="C49" s="25" t="str">
        <f aca="false">IF(B49="","",IFERROR(INDEX(Employees!$B$5:$B$200,MATCH(B49,Employees!$A$5:$A$200,0)),"ID not found"))</f>
        <v/>
      </c>
      <c r="D49" s="25" t="str">
        <f aca="false">IF(B49="","",IFERROR(INDEX(Employees!$J$5:$J$200,MATCH(B49,Employees!$A$5:$A$200,0))&amp;"","ID not found"))</f>
        <v/>
      </c>
      <c r="E49" s="22"/>
      <c r="F49" s="25" t="str">
        <f aca="false">IF(E49="","",IFERROR(INDEX(Employees!$B$5:$B$200,MATCH(E49,Employees!$A$5:$A$200,0)),"ID not found"))</f>
        <v/>
      </c>
      <c r="G49" s="25" t="str">
        <f aca="false">IF(E49="","",IFERROR(INDEX(Employees!$I$5:$I$200,MATCH(E49,Employees!$A$5:$A$200,0)),"not found"))</f>
        <v/>
      </c>
      <c r="H49" s="25" t="str">
        <f aca="false">IF(E49="","",COUNTIF(Employees!$J$5:$J$200,E49))</f>
        <v/>
      </c>
      <c r="I49" s="25" t="str">
        <f aca="false">IF(E49="","",IF(H49&gt;=Lists!$E$10,"At capacity","OK"))</f>
        <v/>
      </c>
      <c r="J49" s="23" t="str">
        <f aca="false">IF(B49="","",IF(G49="not found","Invalid: coach ID not found",IF(B49=E49,"Invalid: self-coach",IF(G49&lt;&gt;"active","Invalid: coach inactive",IF(D49=E49,"Invalid: already assigned",IF(I49="At capacity","Invalid: at capacity","OK"))))))</f>
        <v/>
      </c>
      <c r="K49" s="22"/>
      <c r="L49" s="22"/>
    </row>
    <row r="50" customFormat="false" ht="15" hidden="false" customHeight="false" outlineLevel="0" collapsed="false">
      <c r="A50" s="24"/>
      <c r="B50" s="22"/>
      <c r="C50" s="25" t="str">
        <f aca="false">IF(B50="","",IFERROR(INDEX(Employees!$B$5:$B$200,MATCH(B50,Employees!$A$5:$A$200,0)),"ID not found"))</f>
        <v/>
      </c>
      <c r="D50" s="25" t="str">
        <f aca="false">IF(B50="","",IFERROR(INDEX(Employees!$J$5:$J$200,MATCH(B50,Employees!$A$5:$A$200,0))&amp;"","ID not found"))</f>
        <v/>
      </c>
      <c r="E50" s="22"/>
      <c r="F50" s="25" t="str">
        <f aca="false">IF(E50="","",IFERROR(INDEX(Employees!$B$5:$B$200,MATCH(E50,Employees!$A$5:$A$200,0)),"ID not found"))</f>
        <v/>
      </c>
      <c r="G50" s="25" t="str">
        <f aca="false">IF(E50="","",IFERROR(INDEX(Employees!$I$5:$I$200,MATCH(E50,Employees!$A$5:$A$200,0)),"not found"))</f>
        <v/>
      </c>
      <c r="H50" s="25" t="str">
        <f aca="false">IF(E50="","",COUNTIF(Employees!$J$5:$J$200,E50))</f>
        <v/>
      </c>
      <c r="I50" s="25" t="str">
        <f aca="false">IF(E50="","",IF(H50&gt;=Lists!$E$10,"At capacity","OK"))</f>
        <v/>
      </c>
      <c r="J50" s="23" t="str">
        <f aca="false">IF(B50="","",IF(G50="not found","Invalid: coach ID not found",IF(B50=E50,"Invalid: self-coach",IF(G50&lt;&gt;"active","Invalid: coach inactive",IF(D50=E50,"Invalid: already assigned",IF(I50="At capacity","Invalid: at capacity","OK"))))))</f>
        <v/>
      </c>
      <c r="K50" s="22"/>
      <c r="L50" s="22"/>
    </row>
    <row r="51" customFormat="false" ht="15" hidden="false" customHeight="false" outlineLevel="0" collapsed="false">
      <c r="A51" s="24"/>
      <c r="B51" s="22"/>
      <c r="C51" s="25" t="str">
        <f aca="false">IF(B51="","",IFERROR(INDEX(Employees!$B$5:$B$200,MATCH(B51,Employees!$A$5:$A$200,0)),"ID not found"))</f>
        <v/>
      </c>
      <c r="D51" s="25" t="str">
        <f aca="false">IF(B51="","",IFERROR(INDEX(Employees!$J$5:$J$200,MATCH(B51,Employees!$A$5:$A$200,0))&amp;"","ID not found"))</f>
        <v/>
      </c>
      <c r="E51" s="22"/>
      <c r="F51" s="25" t="str">
        <f aca="false">IF(E51="","",IFERROR(INDEX(Employees!$B$5:$B$200,MATCH(E51,Employees!$A$5:$A$200,0)),"ID not found"))</f>
        <v/>
      </c>
      <c r="G51" s="25" t="str">
        <f aca="false">IF(E51="","",IFERROR(INDEX(Employees!$I$5:$I$200,MATCH(E51,Employees!$A$5:$A$200,0)),"not found"))</f>
        <v/>
      </c>
      <c r="H51" s="25" t="str">
        <f aca="false">IF(E51="","",COUNTIF(Employees!$J$5:$J$200,E51))</f>
        <v/>
      </c>
      <c r="I51" s="25" t="str">
        <f aca="false">IF(E51="","",IF(H51&gt;=Lists!$E$10,"At capacity","OK"))</f>
        <v/>
      </c>
      <c r="J51" s="23" t="str">
        <f aca="false">IF(B51="","",IF(G51="not found","Invalid: coach ID not found",IF(B51=E51,"Invalid: self-coach",IF(G51&lt;&gt;"active","Invalid: coach inactive",IF(D51=E51,"Invalid: already assigned",IF(I51="At capacity","Invalid: at capacity","OK"))))))</f>
        <v/>
      </c>
      <c r="K51" s="22"/>
      <c r="L51" s="22"/>
    </row>
    <row r="52" customFormat="false" ht="15" hidden="false" customHeight="false" outlineLevel="0" collapsed="false">
      <c r="A52" s="24"/>
      <c r="B52" s="22"/>
      <c r="C52" s="25" t="str">
        <f aca="false">IF(B52="","",IFERROR(INDEX(Employees!$B$5:$B$200,MATCH(B52,Employees!$A$5:$A$200,0)),"ID not found"))</f>
        <v/>
      </c>
      <c r="D52" s="25" t="str">
        <f aca="false">IF(B52="","",IFERROR(INDEX(Employees!$J$5:$J$200,MATCH(B52,Employees!$A$5:$A$200,0))&amp;"","ID not found"))</f>
        <v/>
      </c>
      <c r="E52" s="22"/>
      <c r="F52" s="25" t="str">
        <f aca="false">IF(E52="","",IFERROR(INDEX(Employees!$B$5:$B$200,MATCH(E52,Employees!$A$5:$A$200,0)),"ID not found"))</f>
        <v/>
      </c>
      <c r="G52" s="25" t="str">
        <f aca="false">IF(E52="","",IFERROR(INDEX(Employees!$I$5:$I$200,MATCH(E52,Employees!$A$5:$A$200,0)),"not found"))</f>
        <v/>
      </c>
      <c r="H52" s="25" t="str">
        <f aca="false">IF(E52="","",COUNTIF(Employees!$J$5:$J$200,E52))</f>
        <v/>
      </c>
      <c r="I52" s="25" t="str">
        <f aca="false">IF(E52="","",IF(H52&gt;=Lists!$E$10,"At capacity","OK"))</f>
        <v/>
      </c>
      <c r="J52" s="23" t="str">
        <f aca="false">IF(B52="","",IF(G52="not found","Invalid: coach ID not found",IF(B52=E52,"Invalid: self-coach",IF(G52&lt;&gt;"active","Invalid: coach inactive",IF(D52=E52,"Invalid: already assigned",IF(I52="At capacity","Invalid: at capacity","OK"))))))</f>
        <v/>
      </c>
      <c r="K52" s="22"/>
      <c r="L52" s="22"/>
    </row>
    <row r="53" customFormat="false" ht="15" hidden="false" customHeight="false" outlineLevel="0" collapsed="false">
      <c r="A53" s="24"/>
      <c r="B53" s="22"/>
      <c r="C53" s="25" t="str">
        <f aca="false">IF(B53="","",IFERROR(INDEX(Employees!$B$5:$B$200,MATCH(B53,Employees!$A$5:$A$200,0)),"ID not found"))</f>
        <v/>
      </c>
      <c r="D53" s="25" t="str">
        <f aca="false">IF(B53="","",IFERROR(INDEX(Employees!$J$5:$J$200,MATCH(B53,Employees!$A$5:$A$200,0))&amp;"","ID not found"))</f>
        <v/>
      </c>
      <c r="E53" s="22"/>
      <c r="F53" s="25" t="str">
        <f aca="false">IF(E53="","",IFERROR(INDEX(Employees!$B$5:$B$200,MATCH(E53,Employees!$A$5:$A$200,0)),"ID not found"))</f>
        <v/>
      </c>
      <c r="G53" s="25" t="str">
        <f aca="false">IF(E53="","",IFERROR(INDEX(Employees!$I$5:$I$200,MATCH(E53,Employees!$A$5:$A$200,0)),"not found"))</f>
        <v/>
      </c>
      <c r="H53" s="25" t="str">
        <f aca="false">IF(E53="","",COUNTIF(Employees!$J$5:$J$200,E53))</f>
        <v/>
      </c>
      <c r="I53" s="25" t="str">
        <f aca="false">IF(E53="","",IF(H53&gt;=Lists!$E$10,"At capacity","OK"))</f>
        <v/>
      </c>
      <c r="J53" s="23" t="str">
        <f aca="false">IF(B53="","",IF(G53="not found","Invalid: coach ID not found",IF(B53=E53,"Invalid: self-coach",IF(G53&lt;&gt;"active","Invalid: coach inactive",IF(D53=E53,"Invalid: already assigned",IF(I53="At capacity","Invalid: at capacity","OK"))))))</f>
        <v/>
      </c>
      <c r="K53" s="22"/>
      <c r="L53" s="22"/>
    </row>
    <row r="54" customFormat="false" ht="15" hidden="false" customHeight="false" outlineLevel="0" collapsed="false">
      <c r="A54" s="24"/>
      <c r="B54" s="22"/>
      <c r="C54" s="25" t="str">
        <f aca="false">IF(B54="","",IFERROR(INDEX(Employees!$B$5:$B$200,MATCH(B54,Employees!$A$5:$A$200,0)),"ID not found"))</f>
        <v/>
      </c>
      <c r="D54" s="25" t="str">
        <f aca="false">IF(B54="","",IFERROR(INDEX(Employees!$J$5:$J$200,MATCH(B54,Employees!$A$5:$A$200,0))&amp;"","ID not found"))</f>
        <v/>
      </c>
      <c r="E54" s="22"/>
      <c r="F54" s="25" t="str">
        <f aca="false">IF(E54="","",IFERROR(INDEX(Employees!$B$5:$B$200,MATCH(E54,Employees!$A$5:$A$200,0)),"ID not found"))</f>
        <v/>
      </c>
      <c r="G54" s="25" t="str">
        <f aca="false">IF(E54="","",IFERROR(INDEX(Employees!$I$5:$I$200,MATCH(E54,Employees!$A$5:$A$200,0)),"not found"))</f>
        <v/>
      </c>
      <c r="H54" s="25" t="str">
        <f aca="false">IF(E54="","",COUNTIF(Employees!$J$5:$J$200,E54))</f>
        <v/>
      </c>
      <c r="I54" s="25" t="str">
        <f aca="false">IF(E54="","",IF(H54&gt;=Lists!$E$10,"At capacity","OK"))</f>
        <v/>
      </c>
      <c r="J54" s="23" t="str">
        <f aca="false">IF(B54="","",IF(G54="not found","Invalid: coach ID not found",IF(B54=E54,"Invalid: self-coach",IF(G54&lt;&gt;"active","Invalid: coach inactive",IF(D54=E54,"Invalid: already assigned",IF(I54="At capacity","Invalid: at capacity","OK"))))))</f>
        <v/>
      </c>
      <c r="K54" s="22"/>
      <c r="L54" s="22"/>
    </row>
    <row r="55" customFormat="false" ht="15" hidden="false" customHeight="false" outlineLevel="0" collapsed="false">
      <c r="A55" s="24"/>
      <c r="B55" s="22"/>
      <c r="C55" s="25" t="str">
        <f aca="false">IF(B55="","",IFERROR(INDEX(Employees!$B$5:$B$200,MATCH(B55,Employees!$A$5:$A$200,0)),"ID not found"))</f>
        <v/>
      </c>
      <c r="D55" s="25" t="str">
        <f aca="false">IF(B55="","",IFERROR(INDEX(Employees!$J$5:$J$200,MATCH(B55,Employees!$A$5:$A$200,0))&amp;"","ID not found"))</f>
        <v/>
      </c>
      <c r="E55" s="22"/>
      <c r="F55" s="25" t="str">
        <f aca="false">IF(E55="","",IFERROR(INDEX(Employees!$B$5:$B$200,MATCH(E55,Employees!$A$5:$A$200,0)),"ID not found"))</f>
        <v/>
      </c>
      <c r="G55" s="25" t="str">
        <f aca="false">IF(E55="","",IFERROR(INDEX(Employees!$I$5:$I$200,MATCH(E55,Employees!$A$5:$A$200,0)),"not found"))</f>
        <v/>
      </c>
      <c r="H55" s="25" t="str">
        <f aca="false">IF(E55="","",COUNTIF(Employees!$J$5:$J$200,E55))</f>
        <v/>
      </c>
      <c r="I55" s="25" t="str">
        <f aca="false">IF(E55="","",IF(H55&gt;=Lists!$E$10,"At capacity","OK"))</f>
        <v/>
      </c>
      <c r="J55" s="23" t="str">
        <f aca="false">IF(B55="","",IF(G55="not found","Invalid: coach ID not found",IF(B55=E55,"Invalid: self-coach",IF(G55&lt;&gt;"active","Invalid: coach inactive",IF(D55=E55,"Invalid: already assigned",IF(I55="At capacity","Invalid: at capacity","OK"))))))</f>
        <v/>
      </c>
      <c r="K55" s="22"/>
      <c r="L55" s="22"/>
    </row>
    <row r="56" customFormat="false" ht="15" hidden="false" customHeight="false" outlineLevel="0" collapsed="false">
      <c r="A56" s="24"/>
      <c r="B56" s="22"/>
      <c r="C56" s="25" t="str">
        <f aca="false">IF(B56="","",IFERROR(INDEX(Employees!$B$5:$B$200,MATCH(B56,Employees!$A$5:$A$200,0)),"ID not found"))</f>
        <v/>
      </c>
      <c r="D56" s="25" t="str">
        <f aca="false">IF(B56="","",IFERROR(INDEX(Employees!$J$5:$J$200,MATCH(B56,Employees!$A$5:$A$200,0))&amp;"","ID not found"))</f>
        <v/>
      </c>
      <c r="E56" s="22"/>
      <c r="F56" s="25" t="str">
        <f aca="false">IF(E56="","",IFERROR(INDEX(Employees!$B$5:$B$200,MATCH(E56,Employees!$A$5:$A$200,0)),"ID not found"))</f>
        <v/>
      </c>
      <c r="G56" s="25" t="str">
        <f aca="false">IF(E56="","",IFERROR(INDEX(Employees!$I$5:$I$200,MATCH(E56,Employees!$A$5:$A$200,0)),"not found"))</f>
        <v/>
      </c>
      <c r="H56" s="25" t="str">
        <f aca="false">IF(E56="","",COUNTIF(Employees!$J$5:$J$200,E56))</f>
        <v/>
      </c>
      <c r="I56" s="25" t="str">
        <f aca="false">IF(E56="","",IF(H56&gt;=Lists!$E$10,"At capacity","OK"))</f>
        <v/>
      </c>
      <c r="J56" s="23" t="str">
        <f aca="false">IF(B56="","",IF(G56="not found","Invalid: coach ID not found",IF(B56=E56,"Invalid: self-coach",IF(G56&lt;&gt;"active","Invalid: coach inactive",IF(D56=E56,"Invalid: already assigned",IF(I56="At capacity","Invalid: at capacity","OK"))))))</f>
        <v/>
      </c>
      <c r="K56" s="22"/>
      <c r="L56" s="22"/>
    </row>
    <row r="57" customFormat="false" ht="15" hidden="false" customHeight="false" outlineLevel="0" collapsed="false">
      <c r="A57" s="24"/>
      <c r="B57" s="22"/>
      <c r="C57" s="25" t="str">
        <f aca="false">IF(B57="","",IFERROR(INDEX(Employees!$B$5:$B$200,MATCH(B57,Employees!$A$5:$A$200,0)),"ID not found"))</f>
        <v/>
      </c>
      <c r="D57" s="25" t="str">
        <f aca="false">IF(B57="","",IFERROR(INDEX(Employees!$J$5:$J$200,MATCH(B57,Employees!$A$5:$A$200,0))&amp;"","ID not found"))</f>
        <v/>
      </c>
      <c r="E57" s="22"/>
      <c r="F57" s="25" t="str">
        <f aca="false">IF(E57="","",IFERROR(INDEX(Employees!$B$5:$B$200,MATCH(E57,Employees!$A$5:$A$200,0)),"ID not found"))</f>
        <v/>
      </c>
      <c r="G57" s="25" t="str">
        <f aca="false">IF(E57="","",IFERROR(INDEX(Employees!$I$5:$I$200,MATCH(E57,Employees!$A$5:$A$200,0)),"not found"))</f>
        <v/>
      </c>
      <c r="H57" s="25" t="str">
        <f aca="false">IF(E57="","",COUNTIF(Employees!$J$5:$J$200,E57))</f>
        <v/>
      </c>
      <c r="I57" s="25" t="str">
        <f aca="false">IF(E57="","",IF(H57&gt;=Lists!$E$10,"At capacity","OK"))</f>
        <v/>
      </c>
      <c r="J57" s="23" t="str">
        <f aca="false">IF(B57="","",IF(G57="not found","Invalid: coach ID not found",IF(B57=E57,"Invalid: self-coach",IF(G57&lt;&gt;"active","Invalid: coach inactive",IF(D57=E57,"Invalid: already assigned",IF(I57="At capacity","Invalid: at capacity","OK"))))))</f>
        <v/>
      </c>
      <c r="K57" s="22"/>
      <c r="L57" s="22"/>
    </row>
    <row r="58" customFormat="false" ht="15" hidden="false" customHeight="false" outlineLevel="0" collapsed="false">
      <c r="A58" s="24"/>
      <c r="B58" s="22"/>
      <c r="C58" s="25" t="str">
        <f aca="false">IF(B58="","",IFERROR(INDEX(Employees!$B$5:$B$200,MATCH(B58,Employees!$A$5:$A$200,0)),"ID not found"))</f>
        <v/>
      </c>
      <c r="D58" s="25" t="str">
        <f aca="false">IF(B58="","",IFERROR(INDEX(Employees!$J$5:$J$200,MATCH(B58,Employees!$A$5:$A$200,0))&amp;"","ID not found"))</f>
        <v/>
      </c>
      <c r="E58" s="22"/>
      <c r="F58" s="25" t="str">
        <f aca="false">IF(E58="","",IFERROR(INDEX(Employees!$B$5:$B$200,MATCH(E58,Employees!$A$5:$A$200,0)),"ID not found"))</f>
        <v/>
      </c>
      <c r="G58" s="25" t="str">
        <f aca="false">IF(E58="","",IFERROR(INDEX(Employees!$I$5:$I$200,MATCH(E58,Employees!$A$5:$A$200,0)),"not found"))</f>
        <v/>
      </c>
      <c r="H58" s="25" t="str">
        <f aca="false">IF(E58="","",COUNTIF(Employees!$J$5:$J$200,E58))</f>
        <v/>
      </c>
      <c r="I58" s="25" t="str">
        <f aca="false">IF(E58="","",IF(H58&gt;=Lists!$E$10,"At capacity","OK"))</f>
        <v/>
      </c>
      <c r="J58" s="23" t="str">
        <f aca="false">IF(B58="","",IF(G58="not found","Invalid: coach ID not found",IF(B58=E58,"Invalid: self-coach",IF(G58&lt;&gt;"active","Invalid: coach inactive",IF(D58=E58,"Invalid: already assigned",IF(I58="At capacity","Invalid: at capacity","OK"))))))</f>
        <v/>
      </c>
      <c r="K58" s="22"/>
      <c r="L58" s="22"/>
    </row>
    <row r="59" customFormat="false" ht="15" hidden="false" customHeight="false" outlineLevel="0" collapsed="false">
      <c r="A59" s="24"/>
      <c r="B59" s="22"/>
      <c r="C59" s="25" t="str">
        <f aca="false">IF(B59="","",IFERROR(INDEX(Employees!$B$5:$B$200,MATCH(B59,Employees!$A$5:$A$200,0)),"ID not found"))</f>
        <v/>
      </c>
      <c r="D59" s="25" t="str">
        <f aca="false">IF(B59="","",IFERROR(INDEX(Employees!$J$5:$J$200,MATCH(B59,Employees!$A$5:$A$200,0))&amp;"","ID not found"))</f>
        <v/>
      </c>
      <c r="E59" s="22"/>
      <c r="F59" s="25" t="str">
        <f aca="false">IF(E59="","",IFERROR(INDEX(Employees!$B$5:$B$200,MATCH(E59,Employees!$A$5:$A$200,0)),"ID not found"))</f>
        <v/>
      </c>
      <c r="G59" s="25" t="str">
        <f aca="false">IF(E59="","",IFERROR(INDEX(Employees!$I$5:$I$200,MATCH(E59,Employees!$A$5:$A$200,0)),"not found"))</f>
        <v/>
      </c>
      <c r="H59" s="25" t="str">
        <f aca="false">IF(E59="","",COUNTIF(Employees!$J$5:$J$200,E59))</f>
        <v/>
      </c>
      <c r="I59" s="25" t="str">
        <f aca="false">IF(E59="","",IF(H59&gt;=Lists!$E$10,"At capacity","OK"))</f>
        <v/>
      </c>
      <c r="J59" s="23" t="str">
        <f aca="false">IF(B59="","",IF(G59="not found","Invalid: coach ID not found",IF(B59=E59,"Invalid: self-coach",IF(G59&lt;&gt;"active","Invalid: coach inactive",IF(D59=E59,"Invalid: already assigned",IF(I59="At capacity","Invalid: at capacity","OK"))))))</f>
        <v/>
      </c>
      <c r="K59" s="22"/>
      <c r="L59" s="22"/>
    </row>
    <row r="60" customFormat="false" ht="15" hidden="false" customHeight="false" outlineLevel="0" collapsed="false">
      <c r="A60" s="24"/>
      <c r="B60" s="22"/>
      <c r="C60" s="25" t="str">
        <f aca="false">IF(B60="","",IFERROR(INDEX(Employees!$B$5:$B$200,MATCH(B60,Employees!$A$5:$A$200,0)),"ID not found"))</f>
        <v/>
      </c>
      <c r="D60" s="25" t="str">
        <f aca="false">IF(B60="","",IFERROR(INDEX(Employees!$J$5:$J$200,MATCH(B60,Employees!$A$5:$A$200,0))&amp;"","ID not found"))</f>
        <v/>
      </c>
      <c r="E60" s="22"/>
      <c r="F60" s="25" t="str">
        <f aca="false">IF(E60="","",IFERROR(INDEX(Employees!$B$5:$B$200,MATCH(E60,Employees!$A$5:$A$200,0)),"ID not found"))</f>
        <v/>
      </c>
      <c r="G60" s="25" t="str">
        <f aca="false">IF(E60="","",IFERROR(INDEX(Employees!$I$5:$I$200,MATCH(E60,Employees!$A$5:$A$200,0)),"not found"))</f>
        <v/>
      </c>
      <c r="H60" s="25" t="str">
        <f aca="false">IF(E60="","",COUNTIF(Employees!$J$5:$J$200,E60))</f>
        <v/>
      </c>
      <c r="I60" s="25" t="str">
        <f aca="false">IF(E60="","",IF(H60&gt;=Lists!$E$10,"At capacity","OK"))</f>
        <v/>
      </c>
      <c r="J60" s="23" t="str">
        <f aca="false">IF(B60="","",IF(G60="not found","Invalid: coach ID not found",IF(B60=E60,"Invalid: self-coach",IF(G60&lt;&gt;"active","Invalid: coach inactive",IF(D60=E60,"Invalid: already assigned",IF(I60="At capacity","Invalid: at capacity","OK"))))))</f>
        <v/>
      </c>
      <c r="K60" s="22"/>
      <c r="L60" s="22"/>
    </row>
    <row r="61" customFormat="false" ht="15" hidden="false" customHeight="false" outlineLevel="0" collapsed="false">
      <c r="A61" s="24"/>
      <c r="B61" s="22"/>
      <c r="C61" s="25" t="str">
        <f aca="false">IF(B61="","",IFERROR(INDEX(Employees!$B$5:$B$200,MATCH(B61,Employees!$A$5:$A$200,0)),"ID not found"))</f>
        <v/>
      </c>
      <c r="D61" s="25" t="str">
        <f aca="false">IF(B61="","",IFERROR(INDEX(Employees!$J$5:$J$200,MATCH(B61,Employees!$A$5:$A$200,0))&amp;"","ID not found"))</f>
        <v/>
      </c>
      <c r="E61" s="22"/>
      <c r="F61" s="25" t="str">
        <f aca="false">IF(E61="","",IFERROR(INDEX(Employees!$B$5:$B$200,MATCH(E61,Employees!$A$5:$A$200,0)),"ID not found"))</f>
        <v/>
      </c>
      <c r="G61" s="25" t="str">
        <f aca="false">IF(E61="","",IFERROR(INDEX(Employees!$I$5:$I$200,MATCH(E61,Employees!$A$5:$A$200,0)),"not found"))</f>
        <v/>
      </c>
      <c r="H61" s="25" t="str">
        <f aca="false">IF(E61="","",COUNTIF(Employees!$J$5:$J$200,E61))</f>
        <v/>
      </c>
      <c r="I61" s="25" t="str">
        <f aca="false">IF(E61="","",IF(H61&gt;=Lists!$E$10,"At capacity","OK"))</f>
        <v/>
      </c>
      <c r="J61" s="23" t="str">
        <f aca="false">IF(B61="","",IF(G61="not found","Invalid: coach ID not found",IF(B61=E61,"Invalid: self-coach",IF(G61&lt;&gt;"active","Invalid: coach inactive",IF(D61=E61,"Invalid: already assigned",IF(I61="At capacity","Invalid: at capacity","OK"))))))</f>
        <v/>
      </c>
      <c r="K61" s="22"/>
      <c r="L61" s="22"/>
    </row>
    <row r="62" customFormat="false" ht="15" hidden="false" customHeight="false" outlineLevel="0" collapsed="false">
      <c r="A62" s="24"/>
      <c r="B62" s="22"/>
      <c r="C62" s="25" t="str">
        <f aca="false">IF(B62="","",IFERROR(INDEX(Employees!$B$5:$B$200,MATCH(B62,Employees!$A$5:$A$200,0)),"ID not found"))</f>
        <v/>
      </c>
      <c r="D62" s="25" t="str">
        <f aca="false">IF(B62="","",IFERROR(INDEX(Employees!$J$5:$J$200,MATCH(B62,Employees!$A$5:$A$200,0))&amp;"","ID not found"))</f>
        <v/>
      </c>
      <c r="E62" s="22"/>
      <c r="F62" s="25" t="str">
        <f aca="false">IF(E62="","",IFERROR(INDEX(Employees!$B$5:$B$200,MATCH(E62,Employees!$A$5:$A$200,0)),"ID not found"))</f>
        <v/>
      </c>
      <c r="G62" s="25" t="str">
        <f aca="false">IF(E62="","",IFERROR(INDEX(Employees!$I$5:$I$200,MATCH(E62,Employees!$A$5:$A$200,0)),"not found"))</f>
        <v/>
      </c>
      <c r="H62" s="25" t="str">
        <f aca="false">IF(E62="","",COUNTIF(Employees!$J$5:$J$200,E62))</f>
        <v/>
      </c>
      <c r="I62" s="25" t="str">
        <f aca="false">IF(E62="","",IF(H62&gt;=Lists!$E$10,"At capacity","OK"))</f>
        <v/>
      </c>
      <c r="J62" s="23" t="str">
        <f aca="false">IF(B62="","",IF(G62="not found","Invalid: coach ID not found",IF(B62=E62,"Invalid: self-coach",IF(G62&lt;&gt;"active","Invalid: coach inactive",IF(D62=E62,"Invalid: already assigned",IF(I62="At capacity","Invalid: at capacity","OK"))))))</f>
        <v/>
      </c>
      <c r="K62" s="22"/>
      <c r="L62" s="22"/>
    </row>
    <row r="63" customFormat="false" ht="15" hidden="false" customHeight="false" outlineLevel="0" collapsed="false">
      <c r="A63" s="24"/>
      <c r="B63" s="22"/>
      <c r="C63" s="25" t="str">
        <f aca="false">IF(B63="","",IFERROR(INDEX(Employees!$B$5:$B$200,MATCH(B63,Employees!$A$5:$A$200,0)),"ID not found"))</f>
        <v/>
      </c>
      <c r="D63" s="25" t="str">
        <f aca="false">IF(B63="","",IFERROR(INDEX(Employees!$J$5:$J$200,MATCH(B63,Employees!$A$5:$A$200,0))&amp;"","ID not found"))</f>
        <v/>
      </c>
      <c r="E63" s="22"/>
      <c r="F63" s="25" t="str">
        <f aca="false">IF(E63="","",IFERROR(INDEX(Employees!$B$5:$B$200,MATCH(E63,Employees!$A$5:$A$200,0)),"ID not found"))</f>
        <v/>
      </c>
      <c r="G63" s="25" t="str">
        <f aca="false">IF(E63="","",IFERROR(INDEX(Employees!$I$5:$I$200,MATCH(E63,Employees!$A$5:$A$200,0)),"not found"))</f>
        <v/>
      </c>
      <c r="H63" s="25" t="str">
        <f aca="false">IF(E63="","",COUNTIF(Employees!$J$5:$J$200,E63))</f>
        <v/>
      </c>
      <c r="I63" s="25" t="str">
        <f aca="false">IF(E63="","",IF(H63&gt;=Lists!$E$10,"At capacity","OK"))</f>
        <v/>
      </c>
      <c r="J63" s="23" t="str">
        <f aca="false">IF(B63="","",IF(G63="not found","Invalid: coach ID not found",IF(B63=E63,"Invalid: self-coach",IF(G63&lt;&gt;"active","Invalid: coach inactive",IF(D63=E63,"Invalid: already assigned",IF(I63="At capacity","Invalid: at capacity","OK"))))))</f>
        <v/>
      </c>
      <c r="K63" s="22"/>
      <c r="L63" s="22"/>
    </row>
    <row r="64" customFormat="false" ht="15" hidden="false" customHeight="false" outlineLevel="0" collapsed="false">
      <c r="A64" s="24"/>
      <c r="B64" s="22"/>
      <c r="C64" s="25" t="str">
        <f aca="false">IF(B64="","",IFERROR(INDEX(Employees!$B$5:$B$200,MATCH(B64,Employees!$A$5:$A$200,0)),"ID not found"))</f>
        <v/>
      </c>
      <c r="D64" s="25" t="str">
        <f aca="false">IF(B64="","",IFERROR(INDEX(Employees!$J$5:$J$200,MATCH(B64,Employees!$A$5:$A$200,0))&amp;"","ID not found"))</f>
        <v/>
      </c>
      <c r="E64" s="22"/>
      <c r="F64" s="25" t="str">
        <f aca="false">IF(E64="","",IFERROR(INDEX(Employees!$B$5:$B$200,MATCH(E64,Employees!$A$5:$A$200,0)),"ID not found"))</f>
        <v/>
      </c>
      <c r="G64" s="25" t="str">
        <f aca="false">IF(E64="","",IFERROR(INDEX(Employees!$I$5:$I$200,MATCH(E64,Employees!$A$5:$A$200,0)),"not found"))</f>
        <v/>
      </c>
      <c r="H64" s="25" t="str">
        <f aca="false">IF(E64="","",COUNTIF(Employees!$J$5:$J$200,E64))</f>
        <v/>
      </c>
      <c r="I64" s="25" t="str">
        <f aca="false">IF(E64="","",IF(H64&gt;=Lists!$E$10,"At capacity","OK"))</f>
        <v/>
      </c>
      <c r="J64" s="23" t="str">
        <f aca="false">IF(B64="","",IF(G64="not found","Invalid: coach ID not found",IF(B64=E64,"Invalid: self-coach",IF(G64&lt;&gt;"active","Invalid: coach inactive",IF(D64=E64,"Invalid: already assigned",IF(I64="At capacity","Invalid: at capacity","OK"))))))</f>
        <v/>
      </c>
      <c r="K64" s="22"/>
      <c r="L64" s="22"/>
    </row>
    <row r="65" customFormat="false" ht="15" hidden="false" customHeight="false" outlineLevel="0" collapsed="false">
      <c r="A65" s="24"/>
      <c r="B65" s="22"/>
      <c r="C65" s="25" t="str">
        <f aca="false">IF(B65="","",IFERROR(INDEX(Employees!$B$5:$B$200,MATCH(B65,Employees!$A$5:$A$200,0)),"ID not found"))</f>
        <v/>
      </c>
      <c r="D65" s="25" t="str">
        <f aca="false">IF(B65="","",IFERROR(INDEX(Employees!$J$5:$J$200,MATCH(B65,Employees!$A$5:$A$200,0))&amp;"","ID not found"))</f>
        <v/>
      </c>
      <c r="E65" s="22"/>
      <c r="F65" s="25" t="str">
        <f aca="false">IF(E65="","",IFERROR(INDEX(Employees!$B$5:$B$200,MATCH(E65,Employees!$A$5:$A$200,0)),"ID not found"))</f>
        <v/>
      </c>
      <c r="G65" s="25" t="str">
        <f aca="false">IF(E65="","",IFERROR(INDEX(Employees!$I$5:$I$200,MATCH(E65,Employees!$A$5:$A$200,0)),"not found"))</f>
        <v/>
      </c>
      <c r="H65" s="25" t="str">
        <f aca="false">IF(E65="","",COUNTIF(Employees!$J$5:$J$200,E65))</f>
        <v/>
      </c>
      <c r="I65" s="25" t="str">
        <f aca="false">IF(E65="","",IF(H65&gt;=Lists!$E$10,"At capacity","OK"))</f>
        <v/>
      </c>
      <c r="J65" s="23" t="str">
        <f aca="false">IF(B65="","",IF(G65="not found","Invalid: coach ID not found",IF(B65=E65,"Invalid: self-coach",IF(G65&lt;&gt;"active","Invalid: coach inactive",IF(D65=E65,"Invalid: already assigned",IF(I65="At capacity","Invalid: at capacity","OK"))))))</f>
        <v/>
      </c>
      <c r="K65" s="22"/>
      <c r="L65" s="22"/>
    </row>
    <row r="66" customFormat="false" ht="15" hidden="false" customHeight="false" outlineLevel="0" collapsed="false">
      <c r="A66" s="24"/>
      <c r="B66" s="22"/>
      <c r="C66" s="25" t="str">
        <f aca="false">IF(B66="","",IFERROR(INDEX(Employees!$B$5:$B$200,MATCH(B66,Employees!$A$5:$A$200,0)),"ID not found"))</f>
        <v/>
      </c>
      <c r="D66" s="25" t="str">
        <f aca="false">IF(B66="","",IFERROR(INDEX(Employees!$J$5:$J$200,MATCH(B66,Employees!$A$5:$A$200,0))&amp;"","ID not found"))</f>
        <v/>
      </c>
      <c r="E66" s="22"/>
      <c r="F66" s="25" t="str">
        <f aca="false">IF(E66="","",IFERROR(INDEX(Employees!$B$5:$B$200,MATCH(E66,Employees!$A$5:$A$200,0)),"ID not found"))</f>
        <v/>
      </c>
      <c r="G66" s="25" t="str">
        <f aca="false">IF(E66="","",IFERROR(INDEX(Employees!$I$5:$I$200,MATCH(E66,Employees!$A$5:$A$200,0)),"not found"))</f>
        <v/>
      </c>
      <c r="H66" s="25" t="str">
        <f aca="false">IF(E66="","",COUNTIF(Employees!$J$5:$J$200,E66))</f>
        <v/>
      </c>
      <c r="I66" s="25" t="str">
        <f aca="false">IF(E66="","",IF(H66&gt;=Lists!$E$10,"At capacity","OK"))</f>
        <v/>
      </c>
      <c r="J66" s="23" t="str">
        <f aca="false">IF(B66="","",IF(G66="not found","Invalid: coach ID not found",IF(B66=E66,"Invalid: self-coach",IF(G66&lt;&gt;"active","Invalid: coach inactive",IF(D66=E66,"Invalid: already assigned",IF(I66="At capacity","Invalid: at capacity","OK"))))))</f>
        <v/>
      </c>
      <c r="K66" s="22"/>
      <c r="L66" s="22"/>
    </row>
    <row r="67" customFormat="false" ht="15" hidden="false" customHeight="false" outlineLevel="0" collapsed="false">
      <c r="A67" s="24"/>
      <c r="B67" s="22"/>
      <c r="C67" s="25" t="str">
        <f aca="false">IF(B67="","",IFERROR(INDEX(Employees!$B$5:$B$200,MATCH(B67,Employees!$A$5:$A$200,0)),"ID not found"))</f>
        <v/>
      </c>
      <c r="D67" s="25" t="str">
        <f aca="false">IF(B67="","",IFERROR(INDEX(Employees!$J$5:$J$200,MATCH(B67,Employees!$A$5:$A$200,0))&amp;"","ID not found"))</f>
        <v/>
      </c>
      <c r="E67" s="22"/>
      <c r="F67" s="25" t="str">
        <f aca="false">IF(E67="","",IFERROR(INDEX(Employees!$B$5:$B$200,MATCH(E67,Employees!$A$5:$A$200,0)),"ID not found"))</f>
        <v/>
      </c>
      <c r="G67" s="25" t="str">
        <f aca="false">IF(E67="","",IFERROR(INDEX(Employees!$I$5:$I$200,MATCH(E67,Employees!$A$5:$A$200,0)),"not found"))</f>
        <v/>
      </c>
      <c r="H67" s="25" t="str">
        <f aca="false">IF(E67="","",COUNTIF(Employees!$J$5:$J$200,E67))</f>
        <v/>
      </c>
      <c r="I67" s="25" t="str">
        <f aca="false">IF(E67="","",IF(H67&gt;=Lists!$E$10,"At capacity","OK"))</f>
        <v/>
      </c>
      <c r="J67" s="23" t="str">
        <f aca="false">IF(B67="","",IF(G67="not found","Invalid: coach ID not found",IF(B67=E67,"Invalid: self-coach",IF(G67&lt;&gt;"active","Invalid: coach inactive",IF(D67=E67,"Invalid: already assigned",IF(I67="At capacity","Invalid: at capacity","OK"))))))</f>
        <v/>
      </c>
      <c r="K67" s="22"/>
      <c r="L67" s="22"/>
    </row>
    <row r="68" customFormat="false" ht="15" hidden="false" customHeight="false" outlineLevel="0" collapsed="false">
      <c r="A68" s="24"/>
      <c r="B68" s="22"/>
      <c r="C68" s="25" t="str">
        <f aca="false">IF(B68="","",IFERROR(INDEX(Employees!$B$5:$B$200,MATCH(B68,Employees!$A$5:$A$200,0)),"ID not found"))</f>
        <v/>
      </c>
      <c r="D68" s="25" t="str">
        <f aca="false">IF(B68="","",IFERROR(INDEX(Employees!$J$5:$J$200,MATCH(B68,Employees!$A$5:$A$200,0))&amp;"","ID not found"))</f>
        <v/>
      </c>
      <c r="E68" s="22"/>
      <c r="F68" s="25" t="str">
        <f aca="false">IF(E68="","",IFERROR(INDEX(Employees!$B$5:$B$200,MATCH(E68,Employees!$A$5:$A$200,0)),"ID not found"))</f>
        <v/>
      </c>
      <c r="G68" s="25" t="str">
        <f aca="false">IF(E68="","",IFERROR(INDEX(Employees!$I$5:$I$200,MATCH(E68,Employees!$A$5:$A$200,0)),"not found"))</f>
        <v/>
      </c>
      <c r="H68" s="25" t="str">
        <f aca="false">IF(E68="","",COUNTIF(Employees!$J$5:$J$200,E68))</f>
        <v/>
      </c>
      <c r="I68" s="25" t="str">
        <f aca="false">IF(E68="","",IF(H68&gt;=Lists!$E$10,"At capacity","OK"))</f>
        <v/>
      </c>
      <c r="J68" s="23" t="str">
        <f aca="false">IF(B68="","",IF(G68="not found","Invalid: coach ID not found",IF(B68=E68,"Invalid: self-coach",IF(G68&lt;&gt;"active","Invalid: coach inactive",IF(D68=E68,"Invalid: already assigned",IF(I68="At capacity","Invalid: at capacity","OK"))))))</f>
        <v/>
      </c>
      <c r="K68" s="22"/>
      <c r="L68" s="22"/>
    </row>
    <row r="69" customFormat="false" ht="15" hidden="false" customHeight="false" outlineLevel="0" collapsed="false">
      <c r="A69" s="24"/>
      <c r="B69" s="22"/>
      <c r="C69" s="25" t="str">
        <f aca="false">IF(B69="","",IFERROR(INDEX(Employees!$B$5:$B$200,MATCH(B69,Employees!$A$5:$A$200,0)),"ID not found"))</f>
        <v/>
      </c>
      <c r="D69" s="25" t="str">
        <f aca="false">IF(B69="","",IFERROR(INDEX(Employees!$J$5:$J$200,MATCH(B69,Employees!$A$5:$A$200,0))&amp;"","ID not found"))</f>
        <v/>
      </c>
      <c r="E69" s="22"/>
      <c r="F69" s="25" t="str">
        <f aca="false">IF(E69="","",IFERROR(INDEX(Employees!$B$5:$B$200,MATCH(E69,Employees!$A$5:$A$200,0)),"ID not found"))</f>
        <v/>
      </c>
      <c r="G69" s="25" t="str">
        <f aca="false">IF(E69="","",IFERROR(INDEX(Employees!$I$5:$I$200,MATCH(E69,Employees!$A$5:$A$200,0)),"not found"))</f>
        <v/>
      </c>
      <c r="H69" s="25" t="str">
        <f aca="false">IF(E69="","",COUNTIF(Employees!$J$5:$J$200,E69))</f>
        <v/>
      </c>
      <c r="I69" s="25" t="str">
        <f aca="false">IF(E69="","",IF(H69&gt;=Lists!$E$10,"At capacity","OK"))</f>
        <v/>
      </c>
      <c r="J69" s="23" t="str">
        <f aca="false">IF(B69="","",IF(G69="not found","Invalid: coach ID not found",IF(B69=E69,"Invalid: self-coach",IF(G69&lt;&gt;"active","Invalid: coach inactive",IF(D69=E69,"Invalid: already assigned",IF(I69="At capacity","Invalid: at capacity","OK"))))))</f>
        <v/>
      </c>
      <c r="K69" s="22"/>
      <c r="L69" s="22"/>
    </row>
    <row r="70" customFormat="false" ht="15" hidden="false" customHeight="false" outlineLevel="0" collapsed="false">
      <c r="A70" s="24"/>
      <c r="B70" s="22"/>
      <c r="C70" s="25" t="str">
        <f aca="false">IF(B70="","",IFERROR(INDEX(Employees!$B$5:$B$200,MATCH(B70,Employees!$A$5:$A$200,0)),"ID not found"))</f>
        <v/>
      </c>
      <c r="D70" s="25" t="str">
        <f aca="false">IF(B70="","",IFERROR(INDEX(Employees!$J$5:$J$200,MATCH(B70,Employees!$A$5:$A$200,0))&amp;"","ID not found"))</f>
        <v/>
      </c>
      <c r="E70" s="22"/>
      <c r="F70" s="25" t="str">
        <f aca="false">IF(E70="","",IFERROR(INDEX(Employees!$B$5:$B$200,MATCH(E70,Employees!$A$5:$A$200,0)),"ID not found"))</f>
        <v/>
      </c>
      <c r="G70" s="25" t="str">
        <f aca="false">IF(E70="","",IFERROR(INDEX(Employees!$I$5:$I$200,MATCH(E70,Employees!$A$5:$A$200,0)),"not found"))</f>
        <v/>
      </c>
      <c r="H70" s="25" t="str">
        <f aca="false">IF(E70="","",COUNTIF(Employees!$J$5:$J$200,E70))</f>
        <v/>
      </c>
      <c r="I70" s="25" t="str">
        <f aca="false">IF(E70="","",IF(H70&gt;=Lists!$E$10,"At capacity","OK"))</f>
        <v/>
      </c>
      <c r="J70" s="23" t="str">
        <f aca="false">IF(B70="","",IF(G70="not found","Invalid: coach ID not found",IF(B70=E70,"Invalid: self-coach",IF(G70&lt;&gt;"active","Invalid: coach inactive",IF(D70=E70,"Invalid: already assigned",IF(I70="At capacity","Invalid: at capacity","OK"))))))</f>
        <v/>
      </c>
      <c r="K70" s="22"/>
      <c r="L70" s="22"/>
    </row>
    <row r="71" customFormat="false" ht="15" hidden="false" customHeight="false" outlineLevel="0" collapsed="false">
      <c r="A71" s="24"/>
      <c r="B71" s="22"/>
      <c r="C71" s="25" t="str">
        <f aca="false">IF(B71="","",IFERROR(INDEX(Employees!$B$5:$B$200,MATCH(B71,Employees!$A$5:$A$200,0)),"ID not found"))</f>
        <v/>
      </c>
      <c r="D71" s="25" t="str">
        <f aca="false">IF(B71="","",IFERROR(INDEX(Employees!$J$5:$J$200,MATCH(B71,Employees!$A$5:$A$200,0))&amp;"","ID not found"))</f>
        <v/>
      </c>
      <c r="E71" s="22"/>
      <c r="F71" s="25" t="str">
        <f aca="false">IF(E71="","",IFERROR(INDEX(Employees!$B$5:$B$200,MATCH(E71,Employees!$A$5:$A$200,0)),"ID not found"))</f>
        <v/>
      </c>
      <c r="G71" s="25" t="str">
        <f aca="false">IF(E71="","",IFERROR(INDEX(Employees!$I$5:$I$200,MATCH(E71,Employees!$A$5:$A$200,0)),"not found"))</f>
        <v/>
      </c>
      <c r="H71" s="25" t="str">
        <f aca="false">IF(E71="","",COUNTIF(Employees!$J$5:$J$200,E71))</f>
        <v/>
      </c>
      <c r="I71" s="25" t="str">
        <f aca="false">IF(E71="","",IF(H71&gt;=Lists!$E$10,"At capacity","OK"))</f>
        <v/>
      </c>
      <c r="J71" s="23" t="str">
        <f aca="false">IF(B71="","",IF(G71="not found","Invalid: coach ID not found",IF(B71=E71,"Invalid: self-coach",IF(G71&lt;&gt;"active","Invalid: coach inactive",IF(D71=E71,"Invalid: already assigned",IF(I71="At capacity","Invalid: at capacity","OK"))))))</f>
        <v/>
      </c>
      <c r="K71" s="22"/>
      <c r="L71" s="22"/>
    </row>
    <row r="72" customFormat="false" ht="15" hidden="false" customHeight="false" outlineLevel="0" collapsed="false">
      <c r="A72" s="24"/>
      <c r="B72" s="22"/>
      <c r="C72" s="25" t="str">
        <f aca="false">IF(B72="","",IFERROR(INDEX(Employees!$B$5:$B$200,MATCH(B72,Employees!$A$5:$A$200,0)),"ID not found"))</f>
        <v/>
      </c>
      <c r="D72" s="25" t="str">
        <f aca="false">IF(B72="","",IFERROR(INDEX(Employees!$J$5:$J$200,MATCH(B72,Employees!$A$5:$A$200,0))&amp;"","ID not found"))</f>
        <v/>
      </c>
      <c r="E72" s="22"/>
      <c r="F72" s="25" t="str">
        <f aca="false">IF(E72="","",IFERROR(INDEX(Employees!$B$5:$B$200,MATCH(E72,Employees!$A$5:$A$200,0)),"ID not found"))</f>
        <v/>
      </c>
      <c r="G72" s="25" t="str">
        <f aca="false">IF(E72="","",IFERROR(INDEX(Employees!$I$5:$I$200,MATCH(E72,Employees!$A$5:$A$200,0)),"not found"))</f>
        <v/>
      </c>
      <c r="H72" s="25" t="str">
        <f aca="false">IF(E72="","",COUNTIF(Employees!$J$5:$J$200,E72))</f>
        <v/>
      </c>
      <c r="I72" s="25" t="str">
        <f aca="false">IF(E72="","",IF(H72&gt;=Lists!$E$10,"At capacity","OK"))</f>
        <v/>
      </c>
      <c r="J72" s="23" t="str">
        <f aca="false">IF(B72="","",IF(G72="not found","Invalid: coach ID not found",IF(B72=E72,"Invalid: self-coach",IF(G72&lt;&gt;"active","Invalid: coach inactive",IF(D72=E72,"Invalid: already assigned",IF(I72="At capacity","Invalid: at capacity","OK"))))))</f>
        <v/>
      </c>
      <c r="K72" s="22"/>
      <c r="L72" s="22"/>
    </row>
    <row r="73" customFormat="false" ht="15" hidden="false" customHeight="false" outlineLevel="0" collapsed="false">
      <c r="A73" s="24"/>
      <c r="B73" s="22"/>
      <c r="C73" s="25" t="str">
        <f aca="false">IF(B73="","",IFERROR(INDEX(Employees!$B$5:$B$200,MATCH(B73,Employees!$A$5:$A$200,0)),"ID not found"))</f>
        <v/>
      </c>
      <c r="D73" s="25" t="str">
        <f aca="false">IF(B73="","",IFERROR(INDEX(Employees!$J$5:$J$200,MATCH(B73,Employees!$A$5:$A$200,0))&amp;"","ID not found"))</f>
        <v/>
      </c>
      <c r="E73" s="22"/>
      <c r="F73" s="25" t="str">
        <f aca="false">IF(E73="","",IFERROR(INDEX(Employees!$B$5:$B$200,MATCH(E73,Employees!$A$5:$A$200,0)),"ID not found"))</f>
        <v/>
      </c>
      <c r="G73" s="25" t="str">
        <f aca="false">IF(E73="","",IFERROR(INDEX(Employees!$I$5:$I$200,MATCH(E73,Employees!$A$5:$A$200,0)),"not found"))</f>
        <v/>
      </c>
      <c r="H73" s="25" t="str">
        <f aca="false">IF(E73="","",COUNTIF(Employees!$J$5:$J$200,E73))</f>
        <v/>
      </c>
      <c r="I73" s="25" t="str">
        <f aca="false">IF(E73="","",IF(H73&gt;=Lists!$E$10,"At capacity","OK"))</f>
        <v/>
      </c>
      <c r="J73" s="23" t="str">
        <f aca="false">IF(B73="","",IF(G73="not found","Invalid: coach ID not found",IF(B73=E73,"Invalid: self-coach",IF(G73&lt;&gt;"active","Invalid: coach inactive",IF(D73=E73,"Invalid: already assigned",IF(I73="At capacity","Invalid: at capacity","OK"))))))</f>
        <v/>
      </c>
      <c r="K73" s="22"/>
      <c r="L73" s="22"/>
    </row>
    <row r="74" customFormat="false" ht="15" hidden="false" customHeight="false" outlineLevel="0" collapsed="false">
      <c r="A74" s="24"/>
      <c r="B74" s="22"/>
      <c r="C74" s="25" t="str">
        <f aca="false">IF(B74="","",IFERROR(INDEX(Employees!$B$5:$B$200,MATCH(B74,Employees!$A$5:$A$200,0)),"ID not found"))</f>
        <v/>
      </c>
      <c r="D74" s="25" t="str">
        <f aca="false">IF(B74="","",IFERROR(INDEX(Employees!$J$5:$J$200,MATCH(B74,Employees!$A$5:$A$200,0))&amp;"","ID not found"))</f>
        <v/>
      </c>
      <c r="E74" s="22"/>
      <c r="F74" s="25" t="str">
        <f aca="false">IF(E74="","",IFERROR(INDEX(Employees!$B$5:$B$200,MATCH(E74,Employees!$A$5:$A$200,0)),"ID not found"))</f>
        <v/>
      </c>
      <c r="G74" s="25" t="str">
        <f aca="false">IF(E74="","",IFERROR(INDEX(Employees!$I$5:$I$200,MATCH(E74,Employees!$A$5:$A$200,0)),"not found"))</f>
        <v/>
      </c>
      <c r="H74" s="25" t="str">
        <f aca="false">IF(E74="","",COUNTIF(Employees!$J$5:$J$200,E74))</f>
        <v/>
      </c>
      <c r="I74" s="25" t="str">
        <f aca="false">IF(E74="","",IF(H74&gt;=Lists!$E$10,"At capacity","OK"))</f>
        <v/>
      </c>
      <c r="J74" s="23" t="str">
        <f aca="false">IF(B74="","",IF(G74="not found","Invalid: coach ID not found",IF(B74=E74,"Invalid: self-coach",IF(G74&lt;&gt;"active","Invalid: coach inactive",IF(D74=E74,"Invalid: already assigned",IF(I74="At capacity","Invalid: at capacity","OK"))))))</f>
        <v/>
      </c>
      <c r="K74" s="22"/>
      <c r="L74" s="22"/>
    </row>
    <row r="75" customFormat="false" ht="15" hidden="false" customHeight="false" outlineLevel="0" collapsed="false">
      <c r="A75" s="24"/>
      <c r="B75" s="22"/>
      <c r="C75" s="25" t="str">
        <f aca="false">IF(B75="","",IFERROR(INDEX(Employees!$B$5:$B$200,MATCH(B75,Employees!$A$5:$A$200,0)),"ID not found"))</f>
        <v/>
      </c>
      <c r="D75" s="25" t="str">
        <f aca="false">IF(B75="","",IFERROR(INDEX(Employees!$J$5:$J$200,MATCH(B75,Employees!$A$5:$A$200,0))&amp;"","ID not found"))</f>
        <v/>
      </c>
      <c r="E75" s="22"/>
      <c r="F75" s="25" t="str">
        <f aca="false">IF(E75="","",IFERROR(INDEX(Employees!$B$5:$B$200,MATCH(E75,Employees!$A$5:$A$200,0)),"ID not found"))</f>
        <v/>
      </c>
      <c r="G75" s="25" t="str">
        <f aca="false">IF(E75="","",IFERROR(INDEX(Employees!$I$5:$I$200,MATCH(E75,Employees!$A$5:$A$200,0)),"not found"))</f>
        <v/>
      </c>
      <c r="H75" s="25" t="str">
        <f aca="false">IF(E75="","",COUNTIF(Employees!$J$5:$J$200,E75))</f>
        <v/>
      </c>
      <c r="I75" s="25" t="str">
        <f aca="false">IF(E75="","",IF(H75&gt;=Lists!$E$10,"At capacity","OK"))</f>
        <v/>
      </c>
      <c r="J75" s="23" t="str">
        <f aca="false">IF(B75="","",IF(G75="not found","Invalid: coach ID not found",IF(B75=E75,"Invalid: self-coach",IF(G75&lt;&gt;"active","Invalid: coach inactive",IF(D75=E75,"Invalid: already assigned",IF(I75="At capacity","Invalid: at capacity","OK"))))))</f>
        <v/>
      </c>
      <c r="K75" s="22"/>
      <c r="L75" s="22"/>
    </row>
    <row r="76" customFormat="false" ht="15" hidden="false" customHeight="false" outlineLevel="0" collapsed="false">
      <c r="A76" s="24"/>
      <c r="B76" s="22"/>
      <c r="C76" s="25" t="str">
        <f aca="false">IF(B76="","",IFERROR(INDEX(Employees!$B$5:$B$200,MATCH(B76,Employees!$A$5:$A$200,0)),"ID not found"))</f>
        <v/>
      </c>
      <c r="D76" s="25" t="str">
        <f aca="false">IF(B76="","",IFERROR(INDEX(Employees!$J$5:$J$200,MATCH(B76,Employees!$A$5:$A$200,0))&amp;"","ID not found"))</f>
        <v/>
      </c>
      <c r="E76" s="22"/>
      <c r="F76" s="25" t="str">
        <f aca="false">IF(E76="","",IFERROR(INDEX(Employees!$B$5:$B$200,MATCH(E76,Employees!$A$5:$A$200,0)),"ID not found"))</f>
        <v/>
      </c>
      <c r="G76" s="25" t="str">
        <f aca="false">IF(E76="","",IFERROR(INDEX(Employees!$I$5:$I$200,MATCH(E76,Employees!$A$5:$A$200,0)),"not found"))</f>
        <v/>
      </c>
      <c r="H76" s="25" t="str">
        <f aca="false">IF(E76="","",COUNTIF(Employees!$J$5:$J$200,E76))</f>
        <v/>
      </c>
      <c r="I76" s="25" t="str">
        <f aca="false">IF(E76="","",IF(H76&gt;=Lists!$E$10,"At capacity","OK"))</f>
        <v/>
      </c>
      <c r="J76" s="23" t="str">
        <f aca="false">IF(B76="","",IF(G76="not found","Invalid: coach ID not found",IF(B76=E76,"Invalid: self-coach",IF(G76&lt;&gt;"active","Invalid: coach inactive",IF(D76=E76,"Invalid: already assigned",IF(I76="At capacity","Invalid: at capacity","OK"))))))</f>
        <v/>
      </c>
      <c r="K76" s="22"/>
      <c r="L76" s="22"/>
    </row>
    <row r="77" customFormat="false" ht="15" hidden="false" customHeight="false" outlineLevel="0" collapsed="false">
      <c r="A77" s="24"/>
      <c r="B77" s="22"/>
      <c r="C77" s="25" t="str">
        <f aca="false">IF(B77="","",IFERROR(INDEX(Employees!$B$5:$B$200,MATCH(B77,Employees!$A$5:$A$200,0)),"ID not found"))</f>
        <v/>
      </c>
      <c r="D77" s="25" t="str">
        <f aca="false">IF(B77="","",IFERROR(INDEX(Employees!$J$5:$J$200,MATCH(B77,Employees!$A$5:$A$200,0))&amp;"","ID not found"))</f>
        <v/>
      </c>
      <c r="E77" s="22"/>
      <c r="F77" s="25" t="str">
        <f aca="false">IF(E77="","",IFERROR(INDEX(Employees!$B$5:$B$200,MATCH(E77,Employees!$A$5:$A$200,0)),"ID not found"))</f>
        <v/>
      </c>
      <c r="G77" s="25" t="str">
        <f aca="false">IF(E77="","",IFERROR(INDEX(Employees!$I$5:$I$200,MATCH(E77,Employees!$A$5:$A$200,0)),"not found"))</f>
        <v/>
      </c>
      <c r="H77" s="25" t="str">
        <f aca="false">IF(E77="","",COUNTIF(Employees!$J$5:$J$200,E77))</f>
        <v/>
      </c>
      <c r="I77" s="25" t="str">
        <f aca="false">IF(E77="","",IF(H77&gt;=Lists!$E$10,"At capacity","OK"))</f>
        <v/>
      </c>
      <c r="J77" s="23" t="str">
        <f aca="false">IF(B77="","",IF(G77="not found","Invalid: coach ID not found",IF(B77=E77,"Invalid: self-coach",IF(G77&lt;&gt;"active","Invalid: coach inactive",IF(D77=E77,"Invalid: already assigned",IF(I77="At capacity","Invalid: at capacity","OK"))))))</f>
        <v/>
      </c>
      <c r="K77" s="22"/>
      <c r="L77" s="22"/>
    </row>
    <row r="78" customFormat="false" ht="15" hidden="false" customHeight="false" outlineLevel="0" collapsed="false">
      <c r="A78" s="24"/>
      <c r="B78" s="22"/>
      <c r="C78" s="25" t="str">
        <f aca="false">IF(B78="","",IFERROR(INDEX(Employees!$B$5:$B$200,MATCH(B78,Employees!$A$5:$A$200,0)),"ID not found"))</f>
        <v/>
      </c>
      <c r="D78" s="25" t="str">
        <f aca="false">IF(B78="","",IFERROR(INDEX(Employees!$J$5:$J$200,MATCH(B78,Employees!$A$5:$A$200,0))&amp;"","ID not found"))</f>
        <v/>
      </c>
      <c r="E78" s="22"/>
      <c r="F78" s="25" t="str">
        <f aca="false">IF(E78="","",IFERROR(INDEX(Employees!$B$5:$B$200,MATCH(E78,Employees!$A$5:$A$200,0)),"ID not found"))</f>
        <v/>
      </c>
      <c r="G78" s="25" t="str">
        <f aca="false">IF(E78="","",IFERROR(INDEX(Employees!$I$5:$I$200,MATCH(E78,Employees!$A$5:$A$200,0)),"not found"))</f>
        <v/>
      </c>
      <c r="H78" s="25" t="str">
        <f aca="false">IF(E78="","",COUNTIF(Employees!$J$5:$J$200,E78))</f>
        <v/>
      </c>
      <c r="I78" s="25" t="str">
        <f aca="false">IF(E78="","",IF(H78&gt;=Lists!$E$10,"At capacity","OK"))</f>
        <v/>
      </c>
      <c r="J78" s="23" t="str">
        <f aca="false">IF(B78="","",IF(G78="not found","Invalid: coach ID not found",IF(B78=E78,"Invalid: self-coach",IF(G78&lt;&gt;"active","Invalid: coach inactive",IF(D78=E78,"Invalid: already assigned",IF(I78="At capacity","Invalid: at capacity","OK"))))))</f>
        <v/>
      </c>
      <c r="K78" s="22"/>
      <c r="L78" s="22"/>
    </row>
    <row r="79" customFormat="false" ht="15" hidden="false" customHeight="false" outlineLevel="0" collapsed="false">
      <c r="A79" s="24"/>
      <c r="B79" s="22"/>
      <c r="C79" s="25" t="str">
        <f aca="false">IF(B79="","",IFERROR(INDEX(Employees!$B$5:$B$200,MATCH(B79,Employees!$A$5:$A$200,0)),"ID not found"))</f>
        <v/>
      </c>
      <c r="D79" s="25" t="str">
        <f aca="false">IF(B79="","",IFERROR(INDEX(Employees!$J$5:$J$200,MATCH(B79,Employees!$A$5:$A$200,0))&amp;"","ID not found"))</f>
        <v/>
      </c>
      <c r="E79" s="22"/>
      <c r="F79" s="25" t="str">
        <f aca="false">IF(E79="","",IFERROR(INDEX(Employees!$B$5:$B$200,MATCH(E79,Employees!$A$5:$A$200,0)),"ID not found"))</f>
        <v/>
      </c>
      <c r="G79" s="25" t="str">
        <f aca="false">IF(E79="","",IFERROR(INDEX(Employees!$I$5:$I$200,MATCH(E79,Employees!$A$5:$A$200,0)),"not found"))</f>
        <v/>
      </c>
      <c r="H79" s="25" t="str">
        <f aca="false">IF(E79="","",COUNTIF(Employees!$J$5:$J$200,E79))</f>
        <v/>
      </c>
      <c r="I79" s="25" t="str">
        <f aca="false">IF(E79="","",IF(H79&gt;=Lists!$E$10,"At capacity","OK"))</f>
        <v/>
      </c>
      <c r="J79" s="23" t="str">
        <f aca="false">IF(B79="","",IF(G79="not found","Invalid: coach ID not found",IF(B79=E79,"Invalid: self-coach",IF(G79&lt;&gt;"active","Invalid: coach inactive",IF(D79=E79,"Invalid: already assigned",IF(I79="At capacity","Invalid: at capacity","OK"))))))</f>
        <v/>
      </c>
      <c r="K79" s="22"/>
      <c r="L79" s="22"/>
    </row>
    <row r="80" customFormat="false" ht="15" hidden="false" customHeight="false" outlineLevel="0" collapsed="false">
      <c r="A80" s="24"/>
      <c r="B80" s="22"/>
      <c r="C80" s="25" t="str">
        <f aca="false">IF(B80="","",IFERROR(INDEX(Employees!$B$5:$B$200,MATCH(B80,Employees!$A$5:$A$200,0)),"ID not found"))</f>
        <v/>
      </c>
      <c r="D80" s="25" t="str">
        <f aca="false">IF(B80="","",IFERROR(INDEX(Employees!$J$5:$J$200,MATCH(B80,Employees!$A$5:$A$200,0))&amp;"","ID not found"))</f>
        <v/>
      </c>
      <c r="E80" s="22"/>
      <c r="F80" s="25" t="str">
        <f aca="false">IF(E80="","",IFERROR(INDEX(Employees!$B$5:$B$200,MATCH(E80,Employees!$A$5:$A$200,0)),"ID not found"))</f>
        <v/>
      </c>
      <c r="G80" s="25" t="str">
        <f aca="false">IF(E80="","",IFERROR(INDEX(Employees!$I$5:$I$200,MATCH(E80,Employees!$A$5:$A$200,0)),"not found"))</f>
        <v/>
      </c>
      <c r="H80" s="25" t="str">
        <f aca="false">IF(E80="","",COUNTIF(Employees!$J$5:$J$200,E80))</f>
        <v/>
      </c>
      <c r="I80" s="25" t="str">
        <f aca="false">IF(E80="","",IF(H80&gt;=Lists!$E$10,"At capacity","OK"))</f>
        <v/>
      </c>
      <c r="J80" s="23" t="str">
        <f aca="false">IF(B80="","",IF(G80="not found","Invalid: coach ID not found",IF(B80=E80,"Invalid: self-coach",IF(G80&lt;&gt;"active","Invalid: coach inactive",IF(D80=E80,"Invalid: already assigned",IF(I80="At capacity","Invalid: at capacity","OK"))))))</f>
        <v/>
      </c>
      <c r="K80" s="22"/>
      <c r="L80" s="22"/>
    </row>
    <row r="81" customFormat="false" ht="15" hidden="false" customHeight="false" outlineLevel="0" collapsed="false">
      <c r="A81" s="24"/>
      <c r="B81" s="22"/>
      <c r="C81" s="25" t="str">
        <f aca="false">IF(B81="","",IFERROR(INDEX(Employees!$B$5:$B$200,MATCH(B81,Employees!$A$5:$A$200,0)),"ID not found"))</f>
        <v/>
      </c>
      <c r="D81" s="25" t="str">
        <f aca="false">IF(B81="","",IFERROR(INDEX(Employees!$J$5:$J$200,MATCH(B81,Employees!$A$5:$A$200,0))&amp;"","ID not found"))</f>
        <v/>
      </c>
      <c r="E81" s="22"/>
      <c r="F81" s="25" t="str">
        <f aca="false">IF(E81="","",IFERROR(INDEX(Employees!$B$5:$B$200,MATCH(E81,Employees!$A$5:$A$200,0)),"ID not found"))</f>
        <v/>
      </c>
      <c r="G81" s="25" t="str">
        <f aca="false">IF(E81="","",IFERROR(INDEX(Employees!$I$5:$I$200,MATCH(E81,Employees!$A$5:$A$200,0)),"not found"))</f>
        <v/>
      </c>
      <c r="H81" s="25" t="str">
        <f aca="false">IF(E81="","",COUNTIF(Employees!$J$5:$J$200,E81))</f>
        <v/>
      </c>
      <c r="I81" s="25" t="str">
        <f aca="false">IF(E81="","",IF(H81&gt;=Lists!$E$10,"At capacity","OK"))</f>
        <v/>
      </c>
      <c r="J81" s="23" t="str">
        <f aca="false">IF(B81="","",IF(G81="not found","Invalid: coach ID not found",IF(B81=E81,"Invalid: self-coach",IF(G81&lt;&gt;"active","Invalid: coach inactive",IF(D81=E81,"Invalid: already assigned",IF(I81="At capacity","Invalid: at capacity","OK"))))))</f>
        <v/>
      </c>
      <c r="K81" s="22"/>
      <c r="L81" s="22"/>
    </row>
    <row r="82" customFormat="false" ht="15" hidden="false" customHeight="false" outlineLevel="0" collapsed="false">
      <c r="A82" s="24"/>
      <c r="B82" s="22"/>
      <c r="C82" s="25" t="str">
        <f aca="false">IF(B82="","",IFERROR(INDEX(Employees!$B$5:$B$200,MATCH(B82,Employees!$A$5:$A$200,0)),"ID not found"))</f>
        <v/>
      </c>
      <c r="D82" s="25" t="str">
        <f aca="false">IF(B82="","",IFERROR(INDEX(Employees!$J$5:$J$200,MATCH(B82,Employees!$A$5:$A$200,0))&amp;"","ID not found"))</f>
        <v/>
      </c>
      <c r="E82" s="22"/>
      <c r="F82" s="25" t="str">
        <f aca="false">IF(E82="","",IFERROR(INDEX(Employees!$B$5:$B$200,MATCH(E82,Employees!$A$5:$A$200,0)),"ID not found"))</f>
        <v/>
      </c>
      <c r="G82" s="25" t="str">
        <f aca="false">IF(E82="","",IFERROR(INDEX(Employees!$I$5:$I$200,MATCH(E82,Employees!$A$5:$A$200,0)),"not found"))</f>
        <v/>
      </c>
      <c r="H82" s="25" t="str">
        <f aca="false">IF(E82="","",COUNTIF(Employees!$J$5:$J$200,E82))</f>
        <v/>
      </c>
      <c r="I82" s="25" t="str">
        <f aca="false">IF(E82="","",IF(H82&gt;=Lists!$E$10,"At capacity","OK"))</f>
        <v/>
      </c>
      <c r="J82" s="23" t="str">
        <f aca="false">IF(B82="","",IF(G82="not found","Invalid: coach ID not found",IF(B82=E82,"Invalid: self-coach",IF(G82&lt;&gt;"active","Invalid: coach inactive",IF(D82=E82,"Invalid: already assigned",IF(I82="At capacity","Invalid: at capacity","OK"))))))</f>
        <v/>
      </c>
      <c r="K82" s="22"/>
      <c r="L82" s="22"/>
    </row>
    <row r="83" customFormat="false" ht="15" hidden="false" customHeight="false" outlineLevel="0" collapsed="false">
      <c r="A83" s="24"/>
      <c r="B83" s="22"/>
      <c r="C83" s="25" t="str">
        <f aca="false">IF(B83="","",IFERROR(INDEX(Employees!$B$5:$B$200,MATCH(B83,Employees!$A$5:$A$200,0)),"ID not found"))</f>
        <v/>
      </c>
      <c r="D83" s="25" t="str">
        <f aca="false">IF(B83="","",IFERROR(INDEX(Employees!$J$5:$J$200,MATCH(B83,Employees!$A$5:$A$200,0))&amp;"","ID not found"))</f>
        <v/>
      </c>
      <c r="E83" s="22"/>
      <c r="F83" s="25" t="str">
        <f aca="false">IF(E83="","",IFERROR(INDEX(Employees!$B$5:$B$200,MATCH(E83,Employees!$A$5:$A$200,0)),"ID not found"))</f>
        <v/>
      </c>
      <c r="G83" s="25" t="str">
        <f aca="false">IF(E83="","",IFERROR(INDEX(Employees!$I$5:$I$200,MATCH(E83,Employees!$A$5:$A$200,0)),"not found"))</f>
        <v/>
      </c>
      <c r="H83" s="25" t="str">
        <f aca="false">IF(E83="","",COUNTIF(Employees!$J$5:$J$200,E83))</f>
        <v/>
      </c>
      <c r="I83" s="25" t="str">
        <f aca="false">IF(E83="","",IF(H83&gt;=Lists!$E$10,"At capacity","OK"))</f>
        <v/>
      </c>
      <c r="J83" s="23" t="str">
        <f aca="false">IF(B83="","",IF(G83="not found","Invalid: coach ID not found",IF(B83=E83,"Invalid: self-coach",IF(G83&lt;&gt;"active","Invalid: coach inactive",IF(D83=E83,"Invalid: already assigned",IF(I83="At capacity","Invalid: at capacity","OK"))))))</f>
        <v/>
      </c>
      <c r="K83" s="22"/>
      <c r="L83" s="22"/>
    </row>
    <row r="84" customFormat="false" ht="15" hidden="false" customHeight="false" outlineLevel="0" collapsed="false">
      <c r="A84" s="24"/>
      <c r="B84" s="22"/>
      <c r="C84" s="25" t="str">
        <f aca="false">IF(B84="","",IFERROR(INDEX(Employees!$B$5:$B$200,MATCH(B84,Employees!$A$5:$A$200,0)),"ID not found"))</f>
        <v/>
      </c>
      <c r="D84" s="25" t="str">
        <f aca="false">IF(B84="","",IFERROR(INDEX(Employees!$J$5:$J$200,MATCH(B84,Employees!$A$5:$A$200,0))&amp;"","ID not found"))</f>
        <v/>
      </c>
      <c r="E84" s="22"/>
      <c r="F84" s="25" t="str">
        <f aca="false">IF(E84="","",IFERROR(INDEX(Employees!$B$5:$B$200,MATCH(E84,Employees!$A$5:$A$200,0)),"ID not found"))</f>
        <v/>
      </c>
      <c r="G84" s="25" t="str">
        <f aca="false">IF(E84="","",IFERROR(INDEX(Employees!$I$5:$I$200,MATCH(E84,Employees!$A$5:$A$200,0)),"not found"))</f>
        <v/>
      </c>
      <c r="H84" s="25" t="str">
        <f aca="false">IF(E84="","",COUNTIF(Employees!$J$5:$J$200,E84))</f>
        <v/>
      </c>
      <c r="I84" s="25" t="str">
        <f aca="false">IF(E84="","",IF(H84&gt;=Lists!$E$10,"At capacity","OK"))</f>
        <v/>
      </c>
      <c r="J84" s="23" t="str">
        <f aca="false">IF(B84="","",IF(G84="not found","Invalid: coach ID not found",IF(B84=E84,"Invalid: self-coach",IF(G84&lt;&gt;"active","Invalid: coach inactive",IF(D84=E84,"Invalid: already assigned",IF(I84="At capacity","Invalid: at capacity","OK"))))))</f>
        <v/>
      </c>
      <c r="K84" s="22"/>
      <c r="L84" s="22"/>
    </row>
    <row r="85" customFormat="false" ht="15" hidden="false" customHeight="false" outlineLevel="0" collapsed="false">
      <c r="A85" s="24"/>
      <c r="B85" s="22"/>
      <c r="C85" s="25" t="str">
        <f aca="false">IF(B85="","",IFERROR(INDEX(Employees!$B$5:$B$200,MATCH(B85,Employees!$A$5:$A$200,0)),"ID not found"))</f>
        <v/>
      </c>
      <c r="D85" s="25" t="str">
        <f aca="false">IF(B85="","",IFERROR(INDEX(Employees!$J$5:$J$200,MATCH(B85,Employees!$A$5:$A$200,0))&amp;"","ID not found"))</f>
        <v/>
      </c>
      <c r="E85" s="22"/>
      <c r="F85" s="25" t="str">
        <f aca="false">IF(E85="","",IFERROR(INDEX(Employees!$B$5:$B$200,MATCH(E85,Employees!$A$5:$A$200,0)),"ID not found"))</f>
        <v/>
      </c>
      <c r="G85" s="25" t="str">
        <f aca="false">IF(E85="","",IFERROR(INDEX(Employees!$I$5:$I$200,MATCH(E85,Employees!$A$5:$A$200,0)),"not found"))</f>
        <v/>
      </c>
      <c r="H85" s="25" t="str">
        <f aca="false">IF(E85="","",COUNTIF(Employees!$J$5:$J$200,E85))</f>
        <v/>
      </c>
      <c r="I85" s="25" t="str">
        <f aca="false">IF(E85="","",IF(H85&gt;=Lists!$E$10,"At capacity","OK"))</f>
        <v/>
      </c>
      <c r="J85" s="23" t="str">
        <f aca="false">IF(B85="","",IF(G85="not found","Invalid: coach ID not found",IF(B85=E85,"Invalid: self-coach",IF(G85&lt;&gt;"active","Invalid: coach inactive",IF(D85=E85,"Invalid: already assigned",IF(I85="At capacity","Invalid: at capacity","OK"))))))</f>
        <v/>
      </c>
      <c r="K85" s="22"/>
      <c r="L85" s="22"/>
    </row>
    <row r="86" customFormat="false" ht="15" hidden="false" customHeight="false" outlineLevel="0" collapsed="false">
      <c r="A86" s="24"/>
      <c r="B86" s="22"/>
      <c r="C86" s="25" t="str">
        <f aca="false">IF(B86="","",IFERROR(INDEX(Employees!$B$5:$B$200,MATCH(B86,Employees!$A$5:$A$200,0)),"ID not found"))</f>
        <v/>
      </c>
      <c r="D86" s="25" t="str">
        <f aca="false">IF(B86="","",IFERROR(INDEX(Employees!$J$5:$J$200,MATCH(B86,Employees!$A$5:$A$200,0))&amp;"","ID not found"))</f>
        <v/>
      </c>
      <c r="E86" s="22"/>
      <c r="F86" s="25" t="str">
        <f aca="false">IF(E86="","",IFERROR(INDEX(Employees!$B$5:$B$200,MATCH(E86,Employees!$A$5:$A$200,0)),"ID not found"))</f>
        <v/>
      </c>
      <c r="G86" s="25" t="str">
        <f aca="false">IF(E86="","",IFERROR(INDEX(Employees!$I$5:$I$200,MATCH(E86,Employees!$A$5:$A$200,0)),"not found"))</f>
        <v/>
      </c>
      <c r="H86" s="25" t="str">
        <f aca="false">IF(E86="","",COUNTIF(Employees!$J$5:$J$200,E86))</f>
        <v/>
      </c>
      <c r="I86" s="25" t="str">
        <f aca="false">IF(E86="","",IF(H86&gt;=Lists!$E$10,"At capacity","OK"))</f>
        <v/>
      </c>
      <c r="J86" s="23" t="str">
        <f aca="false">IF(B86="","",IF(G86="not found","Invalid: coach ID not found",IF(B86=E86,"Invalid: self-coach",IF(G86&lt;&gt;"active","Invalid: coach inactive",IF(D86=E86,"Invalid: already assigned",IF(I86="At capacity","Invalid: at capacity","OK"))))))</f>
        <v/>
      </c>
      <c r="K86" s="22"/>
      <c r="L86" s="22"/>
    </row>
    <row r="87" customFormat="false" ht="15" hidden="false" customHeight="false" outlineLevel="0" collapsed="false">
      <c r="A87" s="24"/>
      <c r="B87" s="22"/>
      <c r="C87" s="25" t="str">
        <f aca="false">IF(B87="","",IFERROR(INDEX(Employees!$B$5:$B$200,MATCH(B87,Employees!$A$5:$A$200,0)),"ID not found"))</f>
        <v/>
      </c>
      <c r="D87" s="25" t="str">
        <f aca="false">IF(B87="","",IFERROR(INDEX(Employees!$J$5:$J$200,MATCH(B87,Employees!$A$5:$A$200,0))&amp;"","ID not found"))</f>
        <v/>
      </c>
      <c r="E87" s="22"/>
      <c r="F87" s="25" t="str">
        <f aca="false">IF(E87="","",IFERROR(INDEX(Employees!$B$5:$B$200,MATCH(E87,Employees!$A$5:$A$200,0)),"ID not found"))</f>
        <v/>
      </c>
      <c r="G87" s="25" t="str">
        <f aca="false">IF(E87="","",IFERROR(INDEX(Employees!$I$5:$I$200,MATCH(E87,Employees!$A$5:$A$200,0)),"not found"))</f>
        <v/>
      </c>
      <c r="H87" s="25" t="str">
        <f aca="false">IF(E87="","",COUNTIF(Employees!$J$5:$J$200,E87))</f>
        <v/>
      </c>
      <c r="I87" s="25" t="str">
        <f aca="false">IF(E87="","",IF(H87&gt;=Lists!$E$10,"At capacity","OK"))</f>
        <v/>
      </c>
      <c r="J87" s="23" t="str">
        <f aca="false">IF(B87="","",IF(G87="not found","Invalid: coach ID not found",IF(B87=E87,"Invalid: self-coach",IF(G87&lt;&gt;"active","Invalid: coach inactive",IF(D87=E87,"Invalid: already assigned",IF(I87="At capacity","Invalid: at capacity","OK"))))))</f>
        <v/>
      </c>
      <c r="K87" s="22"/>
      <c r="L87" s="22"/>
    </row>
    <row r="88" customFormat="false" ht="15" hidden="false" customHeight="false" outlineLevel="0" collapsed="false">
      <c r="A88" s="24"/>
      <c r="B88" s="22"/>
      <c r="C88" s="25" t="str">
        <f aca="false">IF(B88="","",IFERROR(INDEX(Employees!$B$5:$B$200,MATCH(B88,Employees!$A$5:$A$200,0)),"ID not found"))</f>
        <v/>
      </c>
      <c r="D88" s="25" t="str">
        <f aca="false">IF(B88="","",IFERROR(INDEX(Employees!$J$5:$J$200,MATCH(B88,Employees!$A$5:$A$200,0))&amp;"","ID not found"))</f>
        <v/>
      </c>
      <c r="E88" s="22"/>
      <c r="F88" s="25" t="str">
        <f aca="false">IF(E88="","",IFERROR(INDEX(Employees!$B$5:$B$200,MATCH(E88,Employees!$A$5:$A$200,0)),"ID not found"))</f>
        <v/>
      </c>
      <c r="G88" s="25" t="str">
        <f aca="false">IF(E88="","",IFERROR(INDEX(Employees!$I$5:$I$200,MATCH(E88,Employees!$A$5:$A$200,0)),"not found"))</f>
        <v/>
      </c>
      <c r="H88" s="25" t="str">
        <f aca="false">IF(E88="","",COUNTIF(Employees!$J$5:$J$200,E88))</f>
        <v/>
      </c>
      <c r="I88" s="25" t="str">
        <f aca="false">IF(E88="","",IF(H88&gt;=Lists!$E$10,"At capacity","OK"))</f>
        <v/>
      </c>
      <c r="J88" s="23" t="str">
        <f aca="false">IF(B88="","",IF(G88="not found","Invalid: coach ID not found",IF(B88=E88,"Invalid: self-coach",IF(G88&lt;&gt;"active","Invalid: coach inactive",IF(D88=E88,"Invalid: already assigned",IF(I88="At capacity","Invalid: at capacity","OK"))))))</f>
        <v/>
      </c>
      <c r="K88" s="22"/>
      <c r="L88" s="22"/>
    </row>
    <row r="89" customFormat="false" ht="15" hidden="false" customHeight="false" outlineLevel="0" collapsed="false">
      <c r="A89" s="24"/>
      <c r="B89" s="22"/>
      <c r="C89" s="25" t="str">
        <f aca="false">IF(B89="","",IFERROR(INDEX(Employees!$B$5:$B$200,MATCH(B89,Employees!$A$5:$A$200,0)),"ID not found"))</f>
        <v/>
      </c>
      <c r="D89" s="25" t="str">
        <f aca="false">IF(B89="","",IFERROR(INDEX(Employees!$J$5:$J$200,MATCH(B89,Employees!$A$5:$A$200,0))&amp;"","ID not found"))</f>
        <v/>
      </c>
      <c r="E89" s="22"/>
      <c r="F89" s="25" t="str">
        <f aca="false">IF(E89="","",IFERROR(INDEX(Employees!$B$5:$B$200,MATCH(E89,Employees!$A$5:$A$200,0)),"ID not found"))</f>
        <v/>
      </c>
      <c r="G89" s="25" t="str">
        <f aca="false">IF(E89="","",IFERROR(INDEX(Employees!$I$5:$I$200,MATCH(E89,Employees!$A$5:$A$200,0)),"not found"))</f>
        <v/>
      </c>
      <c r="H89" s="25" t="str">
        <f aca="false">IF(E89="","",COUNTIF(Employees!$J$5:$J$200,E89))</f>
        <v/>
      </c>
      <c r="I89" s="25" t="str">
        <f aca="false">IF(E89="","",IF(H89&gt;=Lists!$E$10,"At capacity","OK"))</f>
        <v/>
      </c>
      <c r="J89" s="23" t="str">
        <f aca="false">IF(B89="","",IF(G89="not found","Invalid: coach ID not found",IF(B89=E89,"Invalid: self-coach",IF(G89&lt;&gt;"active","Invalid: coach inactive",IF(D89=E89,"Invalid: already assigned",IF(I89="At capacity","Invalid: at capacity","OK"))))))</f>
        <v/>
      </c>
      <c r="K89" s="22"/>
      <c r="L89" s="22"/>
    </row>
    <row r="90" customFormat="false" ht="15" hidden="false" customHeight="false" outlineLevel="0" collapsed="false">
      <c r="A90" s="24"/>
      <c r="B90" s="22"/>
      <c r="C90" s="25" t="str">
        <f aca="false">IF(B90="","",IFERROR(INDEX(Employees!$B$5:$B$200,MATCH(B90,Employees!$A$5:$A$200,0)),"ID not found"))</f>
        <v/>
      </c>
      <c r="D90" s="25" t="str">
        <f aca="false">IF(B90="","",IFERROR(INDEX(Employees!$J$5:$J$200,MATCH(B90,Employees!$A$5:$A$200,0))&amp;"","ID not found"))</f>
        <v/>
      </c>
      <c r="E90" s="22"/>
      <c r="F90" s="25" t="str">
        <f aca="false">IF(E90="","",IFERROR(INDEX(Employees!$B$5:$B$200,MATCH(E90,Employees!$A$5:$A$200,0)),"ID not found"))</f>
        <v/>
      </c>
      <c r="G90" s="25" t="str">
        <f aca="false">IF(E90="","",IFERROR(INDEX(Employees!$I$5:$I$200,MATCH(E90,Employees!$A$5:$A$200,0)),"not found"))</f>
        <v/>
      </c>
      <c r="H90" s="25" t="str">
        <f aca="false">IF(E90="","",COUNTIF(Employees!$J$5:$J$200,E90))</f>
        <v/>
      </c>
      <c r="I90" s="25" t="str">
        <f aca="false">IF(E90="","",IF(H90&gt;=Lists!$E$10,"At capacity","OK"))</f>
        <v/>
      </c>
      <c r="J90" s="23" t="str">
        <f aca="false">IF(B90="","",IF(G90="not found","Invalid: coach ID not found",IF(B90=E90,"Invalid: self-coach",IF(G90&lt;&gt;"active","Invalid: coach inactive",IF(D90=E90,"Invalid: already assigned",IF(I90="At capacity","Invalid: at capacity","OK"))))))</f>
        <v/>
      </c>
      <c r="K90" s="22"/>
      <c r="L90" s="22"/>
    </row>
    <row r="91" customFormat="false" ht="15" hidden="false" customHeight="false" outlineLevel="0" collapsed="false">
      <c r="A91" s="24"/>
      <c r="B91" s="22"/>
      <c r="C91" s="25" t="str">
        <f aca="false">IF(B91="","",IFERROR(INDEX(Employees!$B$5:$B$200,MATCH(B91,Employees!$A$5:$A$200,0)),"ID not found"))</f>
        <v/>
      </c>
      <c r="D91" s="25" t="str">
        <f aca="false">IF(B91="","",IFERROR(INDEX(Employees!$J$5:$J$200,MATCH(B91,Employees!$A$5:$A$200,0))&amp;"","ID not found"))</f>
        <v/>
      </c>
      <c r="E91" s="22"/>
      <c r="F91" s="25" t="str">
        <f aca="false">IF(E91="","",IFERROR(INDEX(Employees!$B$5:$B$200,MATCH(E91,Employees!$A$5:$A$200,0)),"ID not found"))</f>
        <v/>
      </c>
      <c r="G91" s="25" t="str">
        <f aca="false">IF(E91="","",IFERROR(INDEX(Employees!$I$5:$I$200,MATCH(E91,Employees!$A$5:$A$200,0)),"not found"))</f>
        <v/>
      </c>
      <c r="H91" s="25" t="str">
        <f aca="false">IF(E91="","",COUNTIF(Employees!$J$5:$J$200,E91))</f>
        <v/>
      </c>
      <c r="I91" s="25" t="str">
        <f aca="false">IF(E91="","",IF(H91&gt;=Lists!$E$10,"At capacity","OK"))</f>
        <v/>
      </c>
      <c r="J91" s="23" t="str">
        <f aca="false">IF(B91="","",IF(G91="not found","Invalid: coach ID not found",IF(B91=E91,"Invalid: self-coach",IF(G91&lt;&gt;"active","Invalid: coach inactive",IF(D91=E91,"Invalid: already assigned",IF(I91="At capacity","Invalid: at capacity","OK"))))))</f>
        <v/>
      </c>
      <c r="K91" s="22"/>
      <c r="L91" s="22"/>
    </row>
    <row r="92" customFormat="false" ht="15" hidden="false" customHeight="false" outlineLevel="0" collapsed="false">
      <c r="A92" s="24"/>
      <c r="B92" s="22"/>
      <c r="C92" s="25" t="str">
        <f aca="false">IF(B92="","",IFERROR(INDEX(Employees!$B$5:$B$200,MATCH(B92,Employees!$A$5:$A$200,0)),"ID not found"))</f>
        <v/>
      </c>
      <c r="D92" s="25" t="str">
        <f aca="false">IF(B92="","",IFERROR(INDEX(Employees!$J$5:$J$200,MATCH(B92,Employees!$A$5:$A$200,0))&amp;"","ID not found"))</f>
        <v/>
      </c>
      <c r="E92" s="22"/>
      <c r="F92" s="25" t="str">
        <f aca="false">IF(E92="","",IFERROR(INDEX(Employees!$B$5:$B$200,MATCH(E92,Employees!$A$5:$A$200,0)),"ID not found"))</f>
        <v/>
      </c>
      <c r="G92" s="25" t="str">
        <f aca="false">IF(E92="","",IFERROR(INDEX(Employees!$I$5:$I$200,MATCH(E92,Employees!$A$5:$A$200,0)),"not found"))</f>
        <v/>
      </c>
      <c r="H92" s="25" t="str">
        <f aca="false">IF(E92="","",COUNTIF(Employees!$J$5:$J$200,E92))</f>
        <v/>
      </c>
      <c r="I92" s="25" t="str">
        <f aca="false">IF(E92="","",IF(H92&gt;=Lists!$E$10,"At capacity","OK"))</f>
        <v/>
      </c>
      <c r="J92" s="23" t="str">
        <f aca="false">IF(B92="","",IF(G92="not found","Invalid: coach ID not found",IF(B92=E92,"Invalid: self-coach",IF(G92&lt;&gt;"active","Invalid: coach inactive",IF(D92=E92,"Invalid: already assigned",IF(I92="At capacity","Invalid: at capacity","OK"))))))</f>
        <v/>
      </c>
      <c r="K92" s="22"/>
      <c r="L92" s="22"/>
    </row>
    <row r="93" customFormat="false" ht="15" hidden="false" customHeight="false" outlineLevel="0" collapsed="false">
      <c r="A93" s="24"/>
      <c r="B93" s="22"/>
      <c r="C93" s="25" t="str">
        <f aca="false">IF(B93="","",IFERROR(INDEX(Employees!$B$5:$B$200,MATCH(B93,Employees!$A$5:$A$200,0)),"ID not found"))</f>
        <v/>
      </c>
      <c r="D93" s="25" t="str">
        <f aca="false">IF(B93="","",IFERROR(INDEX(Employees!$J$5:$J$200,MATCH(B93,Employees!$A$5:$A$200,0))&amp;"","ID not found"))</f>
        <v/>
      </c>
      <c r="E93" s="22"/>
      <c r="F93" s="25" t="str">
        <f aca="false">IF(E93="","",IFERROR(INDEX(Employees!$B$5:$B$200,MATCH(E93,Employees!$A$5:$A$200,0)),"ID not found"))</f>
        <v/>
      </c>
      <c r="G93" s="25" t="str">
        <f aca="false">IF(E93="","",IFERROR(INDEX(Employees!$I$5:$I$200,MATCH(E93,Employees!$A$5:$A$200,0)),"not found"))</f>
        <v/>
      </c>
      <c r="H93" s="25" t="str">
        <f aca="false">IF(E93="","",COUNTIF(Employees!$J$5:$J$200,E93))</f>
        <v/>
      </c>
      <c r="I93" s="25" t="str">
        <f aca="false">IF(E93="","",IF(H93&gt;=Lists!$E$10,"At capacity","OK"))</f>
        <v/>
      </c>
      <c r="J93" s="23" t="str">
        <f aca="false">IF(B93="","",IF(G93="not found","Invalid: coach ID not found",IF(B93=E93,"Invalid: self-coach",IF(G93&lt;&gt;"active","Invalid: coach inactive",IF(D93=E93,"Invalid: already assigned",IF(I93="At capacity","Invalid: at capacity","OK"))))))</f>
        <v/>
      </c>
      <c r="K93" s="22"/>
      <c r="L93" s="22"/>
    </row>
    <row r="94" customFormat="false" ht="15" hidden="false" customHeight="false" outlineLevel="0" collapsed="false">
      <c r="A94" s="24"/>
      <c r="B94" s="22"/>
      <c r="C94" s="25" t="str">
        <f aca="false">IF(B94="","",IFERROR(INDEX(Employees!$B$5:$B$200,MATCH(B94,Employees!$A$5:$A$200,0)),"ID not found"))</f>
        <v/>
      </c>
      <c r="D94" s="25" t="str">
        <f aca="false">IF(B94="","",IFERROR(INDEX(Employees!$J$5:$J$200,MATCH(B94,Employees!$A$5:$A$200,0))&amp;"","ID not found"))</f>
        <v/>
      </c>
      <c r="E94" s="22"/>
      <c r="F94" s="25" t="str">
        <f aca="false">IF(E94="","",IFERROR(INDEX(Employees!$B$5:$B$200,MATCH(E94,Employees!$A$5:$A$200,0)),"ID not found"))</f>
        <v/>
      </c>
      <c r="G94" s="25" t="str">
        <f aca="false">IF(E94="","",IFERROR(INDEX(Employees!$I$5:$I$200,MATCH(E94,Employees!$A$5:$A$200,0)),"not found"))</f>
        <v/>
      </c>
      <c r="H94" s="25" t="str">
        <f aca="false">IF(E94="","",COUNTIF(Employees!$J$5:$J$200,E94))</f>
        <v/>
      </c>
      <c r="I94" s="25" t="str">
        <f aca="false">IF(E94="","",IF(H94&gt;=Lists!$E$10,"At capacity","OK"))</f>
        <v/>
      </c>
      <c r="J94" s="23" t="str">
        <f aca="false">IF(B94="","",IF(G94="not found","Invalid: coach ID not found",IF(B94=E94,"Invalid: self-coach",IF(G94&lt;&gt;"active","Invalid: coach inactive",IF(D94=E94,"Invalid: already assigned",IF(I94="At capacity","Invalid: at capacity","OK"))))))</f>
        <v/>
      </c>
      <c r="K94" s="22"/>
      <c r="L94" s="22"/>
    </row>
    <row r="95" customFormat="false" ht="15" hidden="false" customHeight="false" outlineLevel="0" collapsed="false">
      <c r="A95" s="24"/>
      <c r="B95" s="22"/>
      <c r="C95" s="25" t="str">
        <f aca="false">IF(B95="","",IFERROR(INDEX(Employees!$B$5:$B$200,MATCH(B95,Employees!$A$5:$A$200,0)),"ID not found"))</f>
        <v/>
      </c>
      <c r="D95" s="25" t="str">
        <f aca="false">IF(B95="","",IFERROR(INDEX(Employees!$J$5:$J$200,MATCH(B95,Employees!$A$5:$A$200,0))&amp;"","ID not found"))</f>
        <v/>
      </c>
      <c r="E95" s="22"/>
      <c r="F95" s="25" t="str">
        <f aca="false">IF(E95="","",IFERROR(INDEX(Employees!$B$5:$B$200,MATCH(E95,Employees!$A$5:$A$200,0)),"ID not found"))</f>
        <v/>
      </c>
      <c r="G95" s="25" t="str">
        <f aca="false">IF(E95="","",IFERROR(INDEX(Employees!$I$5:$I$200,MATCH(E95,Employees!$A$5:$A$200,0)),"not found"))</f>
        <v/>
      </c>
      <c r="H95" s="25" t="str">
        <f aca="false">IF(E95="","",COUNTIF(Employees!$J$5:$J$200,E95))</f>
        <v/>
      </c>
      <c r="I95" s="25" t="str">
        <f aca="false">IF(E95="","",IF(H95&gt;=Lists!$E$10,"At capacity","OK"))</f>
        <v/>
      </c>
      <c r="J95" s="23" t="str">
        <f aca="false">IF(B95="","",IF(G95="not found","Invalid: coach ID not found",IF(B95=E95,"Invalid: self-coach",IF(G95&lt;&gt;"active","Invalid: coach inactive",IF(D95=E95,"Invalid: already assigned",IF(I95="At capacity","Invalid: at capacity","OK"))))))</f>
        <v/>
      </c>
      <c r="K95" s="22"/>
      <c r="L95" s="22"/>
    </row>
    <row r="96" customFormat="false" ht="15" hidden="false" customHeight="false" outlineLevel="0" collapsed="false">
      <c r="A96" s="24"/>
      <c r="B96" s="22"/>
      <c r="C96" s="25" t="str">
        <f aca="false">IF(B96="","",IFERROR(INDEX(Employees!$B$5:$B$200,MATCH(B96,Employees!$A$5:$A$200,0)),"ID not found"))</f>
        <v/>
      </c>
      <c r="D96" s="25" t="str">
        <f aca="false">IF(B96="","",IFERROR(INDEX(Employees!$J$5:$J$200,MATCH(B96,Employees!$A$5:$A$200,0))&amp;"","ID not found"))</f>
        <v/>
      </c>
      <c r="E96" s="22"/>
      <c r="F96" s="25" t="str">
        <f aca="false">IF(E96="","",IFERROR(INDEX(Employees!$B$5:$B$200,MATCH(E96,Employees!$A$5:$A$200,0)),"ID not found"))</f>
        <v/>
      </c>
      <c r="G96" s="25" t="str">
        <f aca="false">IF(E96="","",IFERROR(INDEX(Employees!$I$5:$I$200,MATCH(E96,Employees!$A$5:$A$200,0)),"not found"))</f>
        <v/>
      </c>
      <c r="H96" s="25" t="str">
        <f aca="false">IF(E96="","",COUNTIF(Employees!$J$5:$J$200,E96))</f>
        <v/>
      </c>
      <c r="I96" s="25" t="str">
        <f aca="false">IF(E96="","",IF(H96&gt;=Lists!$E$10,"At capacity","OK"))</f>
        <v/>
      </c>
      <c r="J96" s="23" t="str">
        <f aca="false">IF(B96="","",IF(G96="not found","Invalid: coach ID not found",IF(B96=E96,"Invalid: self-coach",IF(G96&lt;&gt;"active","Invalid: coach inactive",IF(D96=E96,"Invalid: already assigned",IF(I96="At capacity","Invalid: at capacity","OK"))))))</f>
        <v/>
      </c>
      <c r="K96" s="22"/>
      <c r="L96" s="22"/>
    </row>
    <row r="97" customFormat="false" ht="15" hidden="false" customHeight="false" outlineLevel="0" collapsed="false">
      <c r="A97" s="24"/>
      <c r="B97" s="22"/>
      <c r="C97" s="25" t="str">
        <f aca="false">IF(B97="","",IFERROR(INDEX(Employees!$B$5:$B$200,MATCH(B97,Employees!$A$5:$A$200,0)),"ID not found"))</f>
        <v/>
      </c>
      <c r="D97" s="25" t="str">
        <f aca="false">IF(B97="","",IFERROR(INDEX(Employees!$J$5:$J$200,MATCH(B97,Employees!$A$5:$A$200,0))&amp;"","ID not found"))</f>
        <v/>
      </c>
      <c r="E97" s="22"/>
      <c r="F97" s="25" t="str">
        <f aca="false">IF(E97="","",IFERROR(INDEX(Employees!$B$5:$B$200,MATCH(E97,Employees!$A$5:$A$200,0)),"ID not found"))</f>
        <v/>
      </c>
      <c r="G97" s="25" t="str">
        <f aca="false">IF(E97="","",IFERROR(INDEX(Employees!$I$5:$I$200,MATCH(E97,Employees!$A$5:$A$200,0)),"not found"))</f>
        <v/>
      </c>
      <c r="H97" s="25" t="str">
        <f aca="false">IF(E97="","",COUNTIF(Employees!$J$5:$J$200,E97))</f>
        <v/>
      </c>
      <c r="I97" s="25" t="str">
        <f aca="false">IF(E97="","",IF(H97&gt;=Lists!$E$10,"At capacity","OK"))</f>
        <v/>
      </c>
      <c r="J97" s="23" t="str">
        <f aca="false">IF(B97="","",IF(G97="not found","Invalid: coach ID not found",IF(B97=E97,"Invalid: self-coach",IF(G97&lt;&gt;"active","Invalid: coach inactive",IF(D97=E97,"Invalid: already assigned",IF(I97="At capacity","Invalid: at capacity","OK"))))))</f>
        <v/>
      </c>
      <c r="K97" s="22"/>
      <c r="L97" s="22"/>
    </row>
    <row r="98" customFormat="false" ht="15" hidden="false" customHeight="false" outlineLevel="0" collapsed="false">
      <c r="A98" s="24"/>
      <c r="B98" s="22"/>
      <c r="C98" s="25" t="str">
        <f aca="false">IF(B98="","",IFERROR(INDEX(Employees!$B$5:$B$200,MATCH(B98,Employees!$A$5:$A$200,0)),"ID not found"))</f>
        <v/>
      </c>
      <c r="D98" s="25" t="str">
        <f aca="false">IF(B98="","",IFERROR(INDEX(Employees!$J$5:$J$200,MATCH(B98,Employees!$A$5:$A$200,0))&amp;"","ID not found"))</f>
        <v/>
      </c>
      <c r="E98" s="22"/>
      <c r="F98" s="25" t="str">
        <f aca="false">IF(E98="","",IFERROR(INDEX(Employees!$B$5:$B$200,MATCH(E98,Employees!$A$5:$A$200,0)),"ID not found"))</f>
        <v/>
      </c>
      <c r="G98" s="25" t="str">
        <f aca="false">IF(E98="","",IFERROR(INDEX(Employees!$I$5:$I$200,MATCH(E98,Employees!$A$5:$A$200,0)),"not found"))</f>
        <v/>
      </c>
      <c r="H98" s="25" t="str">
        <f aca="false">IF(E98="","",COUNTIF(Employees!$J$5:$J$200,E98))</f>
        <v/>
      </c>
      <c r="I98" s="25" t="str">
        <f aca="false">IF(E98="","",IF(H98&gt;=Lists!$E$10,"At capacity","OK"))</f>
        <v/>
      </c>
      <c r="J98" s="23" t="str">
        <f aca="false">IF(B98="","",IF(G98="not found","Invalid: coach ID not found",IF(B98=E98,"Invalid: self-coach",IF(G98&lt;&gt;"active","Invalid: coach inactive",IF(D98=E98,"Invalid: already assigned",IF(I98="At capacity","Invalid: at capacity","OK"))))))</f>
        <v/>
      </c>
      <c r="K98" s="22"/>
      <c r="L98" s="22"/>
    </row>
    <row r="99" customFormat="false" ht="15" hidden="false" customHeight="false" outlineLevel="0" collapsed="false">
      <c r="A99" s="24"/>
      <c r="B99" s="22"/>
      <c r="C99" s="25" t="str">
        <f aca="false">IF(B99="","",IFERROR(INDEX(Employees!$B$5:$B$200,MATCH(B99,Employees!$A$5:$A$200,0)),"ID not found"))</f>
        <v/>
      </c>
      <c r="D99" s="25" t="str">
        <f aca="false">IF(B99="","",IFERROR(INDEX(Employees!$J$5:$J$200,MATCH(B99,Employees!$A$5:$A$200,0))&amp;"","ID not found"))</f>
        <v/>
      </c>
      <c r="E99" s="22"/>
      <c r="F99" s="25" t="str">
        <f aca="false">IF(E99="","",IFERROR(INDEX(Employees!$B$5:$B$200,MATCH(E99,Employees!$A$5:$A$200,0)),"ID not found"))</f>
        <v/>
      </c>
      <c r="G99" s="25" t="str">
        <f aca="false">IF(E99="","",IFERROR(INDEX(Employees!$I$5:$I$200,MATCH(E99,Employees!$A$5:$A$200,0)),"not found"))</f>
        <v/>
      </c>
      <c r="H99" s="25" t="str">
        <f aca="false">IF(E99="","",COUNTIF(Employees!$J$5:$J$200,E99))</f>
        <v/>
      </c>
      <c r="I99" s="25" t="str">
        <f aca="false">IF(E99="","",IF(H99&gt;=Lists!$E$10,"At capacity","OK"))</f>
        <v/>
      </c>
      <c r="J99" s="23" t="str">
        <f aca="false">IF(B99="","",IF(G99="not found","Invalid: coach ID not found",IF(B99=E99,"Invalid: self-coach",IF(G99&lt;&gt;"active","Invalid: coach inactive",IF(D99=E99,"Invalid: already assigned",IF(I99="At capacity","Invalid: at capacity","OK"))))))</f>
        <v/>
      </c>
      <c r="K99" s="22"/>
      <c r="L99" s="22"/>
    </row>
    <row r="100" customFormat="false" ht="15" hidden="false" customHeight="false" outlineLevel="0" collapsed="false">
      <c r="A100" s="24"/>
      <c r="B100" s="22"/>
      <c r="C100" s="25" t="str">
        <f aca="false">IF(B100="","",IFERROR(INDEX(Employees!$B$5:$B$200,MATCH(B100,Employees!$A$5:$A$200,0)),"ID not found"))</f>
        <v/>
      </c>
      <c r="D100" s="25" t="str">
        <f aca="false">IF(B100="","",IFERROR(INDEX(Employees!$J$5:$J$200,MATCH(B100,Employees!$A$5:$A$200,0))&amp;"","ID not found"))</f>
        <v/>
      </c>
      <c r="E100" s="22"/>
      <c r="F100" s="25" t="str">
        <f aca="false">IF(E100="","",IFERROR(INDEX(Employees!$B$5:$B$200,MATCH(E100,Employees!$A$5:$A$200,0)),"ID not found"))</f>
        <v/>
      </c>
      <c r="G100" s="25" t="str">
        <f aca="false">IF(E100="","",IFERROR(INDEX(Employees!$I$5:$I$200,MATCH(E100,Employees!$A$5:$A$200,0)),"not found"))</f>
        <v/>
      </c>
      <c r="H100" s="25" t="str">
        <f aca="false">IF(E100="","",COUNTIF(Employees!$J$5:$J$200,E100))</f>
        <v/>
      </c>
      <c r="I100" s="25" t="str">
        <f aca="false">IF(E100="","",IF(H100&gt;=Lists!$E$10,"At capacity","OK"))</f>
        <v/>
      </c>
      <c r="J100" s="23" t="str">
        <f aca="false">IF(B100="","",IF(G100="not found","Invalid: coach ID not found",IF(B100=E100,"Invalid: self-coach",IF(G100&lt;&gt;"active","Invalid: coach inactive",IF(D100=E100,"Invalid: already assigned",IF(I100="At capacity","Invalid: at capacity","OK"))))))</f>
        <v/>
      </c>
      <c r="K100" s="22"/>
      <c r="L100" s="22"/>
    </row>
    <row r="101" customFormat="false" ht="15" hidden="false" customHeight="false" outlineLevel="0" collapsed="false">
      <c r="A101" s="24"/>
      <c r="B101" s="22"/>
      <c r="C101" s="25" t="str">
        <f aca="false">IF(B101="","",IFERROR(INDEX(Employees!$B$5:$B$200,MATCH(B101,Employees!$A$5:$A$200,0)),"ID not found"))</f>
        <v/>
      </c>
      <c r="D101" s="25" t="str">
        <f aca="false">IF(B101="","",IFERROR(INDEX(Employees!$J$5:$J$200,MATCH(B101,Employees!$A$5:$A$200,0))&amp;"","ID not found"))</f>
        <v/>
      </c>
      <c r="E101" s="22"/>
      <c r="F101" s="25" t="str">
        <f aca="false">IF(E101="","",IFERROR(INDEX(Employees!$B$5:$B$200,MATCH(E101,Employees!$A$5:$A$200,0)),"ID not found"))</f>
        <v/>
      </c>
      <c r="G101" s="25" t="str">
        <f aca="false">IF(E101="","",IFERROR(INDEX(Employees!$I$5:$I$200,MATCH(E101,Employees!$A$5:$A$200,0)),"not found"))</f>
        <v/>
      </c>
      <c r="H101" s="25" t="str">
        <f aca="false">IF(E101="","",COUNTIF(Employees!$J$5:$J$200,E101))</f>
        <v/>
      </c>
      <c r="I101" s="25" t="str">
        <f aca="false">IF(E101="","",IF(H101&gt;=Lists!$E$10,"At capacity","OK"))</f>
        <v/>
      </c>
      <c r="J101" s="23" t="str">
        <f aca="false">IF(B101="","",IF(G101="not found","Invalid: coach ID not found",IF(B101=E101,"Invalid: self-coach",IF(G101&lt;&gt;"active","Invalid: coach inactive",IF(D101=E101,"Invalid: already assigned",IF(I101="At capacity","Invalid: at capacity","OK"))))))</f>
        <v/>
      </c>
      <c r="K101" s="22"/>
      <c r="L101" s="22"/>
    </row>
    <row r="102" customFormat="false" ht="15" hidden="false" customHeight="false" outlineLevel="0" collapsed="false">
      <c r="A102" s="24"/>
      <c r="B102" s="22"/>
      <c r="C102" s="25" t="str">
        <f aca="false">IF(B102="","",IFERROR(INDEX(Employees!$B$5:$B$200,MATCH(B102,Employees!$A$5:$A$200,0)),"ID not found"))</f>
        <v/>
      </c>
      <c r="D102" s="25" t="str">
        <f aca="false">IF(B102="","",IFERROR(INDEX(Employees!$J$5:$J$200,MATCH(B102,Employees!$A$5:$A$200,0))&amp;"","ID not found"))</f>
        <v/>
      </c>
      <c r="E102" s="22"/>
      <c r="F102" s="25" t="str">
        <f aca="false">IF(E102="","",IFERROR(INDEX(Employees!$B$5:$B$200,MATCH(E102,Employees!$A$5:$A$200,0)),"ID not found"))</f>
        <v/>
      </c>
      <c r="G102" s="25" t="str">
        <f aca="false">IF(E102="","",IFERROR(INDEX(Employees!$I$5:$I$200,MATCH(E102,Employees!$A$5:$A$200,0)),"not found"))</f>
        <v/>
      </c>
      <c r="H102" s="25" t="str">
        <f aca="false">IF(E102="","",COUNTIF(Employees!$J$5:$J$200,E102))</f>
        <v/>
      </c>
      <c r="I102" s="25" t="str">
        <f aca="false">IF(E102="","",IF(H102&gt;=Lists!$E$10,"At capacity","OK"))</f>
        <v/>
      </c>
      <c r="J102" s="23" t="str">
        <f aca="false">IF(B102="","",IF(G102="not found","Invalid: coach ID not found",IF(B102=E102,"Invalid: self-coach",IF(G102&lt;&gt;"active","Invalid: coach inactive",IF(D102=E102,"Invalid: already assigned",IF(I102="At capacity","Invalid: at capacity","OK"))))))</f>
        <v/>
      </c>
      <c r="K102" s="22"/>
      <c r="L102" s="22"/>
    </row>
    <row r="103" customFormat="false" ht="15" hidden="false" customHeight="false" outlineLevel="0" collapsed="false">
      <c r="A103" s="24"/>
      <c r="B103" s="22"/>
      <c r="C103" s="25" t="str">
        <f aca="false">IF(B103="","",IFERROR(INDEX(Employees!$B$5:$B$200,MATCH(B103,Employees!$A$5:$A$200,0)),"ID not found"))</f>
        <v/>
      </c>
      <c r="D103" s="25" t="str">
        <f aca="false">IF(B103="","",IFERROR(INDEX(Employees!$J$5:$J$200,MATCH(B103,Employees!$A$5:$A$200,0))&amp;"","ID not found"))</f>
        <v/>
      </c>
      <c r="E103" s="22"/>
      <c r="F103" s="25" t="str">
        <f aca="false">IF(E103="","",IFERROR(INDEX(Employees!$B$5:$B$200,MATCH(E103,Employees!$A$5:$A$200,0)),"ID not found"))</f>
        <v/>
      </c>
      <c r="G103" s="25" t="str">
        <f aca="false">IF(E103="","",IFERROR(INDEX(Employees!$I$5:$I$200,MATCH(E103,Employees!$A$5:$A$200,0)),"not found"))</f>
        <v/>
      </c>
      <c r="H103" s="25" t="str">
        <f aca="false">IF(E103="","",COUNTIF(Employees!$J$5:$J$200,E103))</f>
        <v/>
      </c>
      <c r="I103" s="25" t="str">
        <f aca="false">IF(E103="","",IF(H103&gt;=Lists!$E$10,"At capacity","OK"))</f>
        <v/>
      </c>
      <c r="J103" s="23" t="str">
        <f aca="false">IF(B103="","",IF(G103="not found","Invalid: coach ID not found",IF(B103=E103,"Invalid: self-coach",IF(G103&lt;&gt;"active","Invalid: coach inactive",IF(D103=E103,"Invalid: already assigned",IF(I103="At capacity","Invalid: at capacity","OK"))))))</f>
        <v/>
      </c>
      <c r="K103" s="22"/>
      <c r="L103" s="22"/>
    </row>
    <row r="104" customFormat="false" ht="15" hidden="false" customHeight="false" outlineLevel="0" collapsed="false">
      <c r="A104" s="24"/>
      <c r="B104" s="22"/>
      <c r="C104" s="25" t="str">
        <f aca="false">IF(B104="","",IFERROR(INDEX(Employees!$B$5:$B$200,MATCH(B104,Employees!$A$5:$A$200,0)),"ID not found"))</f>
        <v/>
      </c>
      <c r="D104" s="25" t="str">
        <f aca="false">IF(B104="","",IFERROR(INDEX(Employees!$J$5:$J$200,MATCH(B104,Employees!$A$5:$A$200,0))&amp;"","ID not found"))</f>
        <v/>
      </c>
      <c r="E104" s="22"/>
      <c r="F104" s="25" t="str">
        <f aca="false">IF(E104="","",IFERROR(INDEX(Employees!$B$5:$B$200,MATCH(E104,Employees!$A$5:$A$200,0)),"ID not found"))</f>
        <v/>
      </c>
      <c r="G104" s="25" t="str">
        <f aca="false">IF(E104="","",IFERROR(INDEX(Employees!$I$5:$I$200,MATCH(E104,Employees!$A$5:$A$200,0)),"not found"))</f>
        <v/>
      </c>
      <c r="H104" s="25" t="str">
        <f aca="false">IF(E104="","",COUNTIF(Employees!$J$5:$J$200,E104))</f>
        <v/>
      </c>
      <c r="I104" s="25" t="str">
        <f aca="false">IF(E104="","",IF(H104&gt;=Lists!$E$10,"At capacity","OK"))</f>
        <v/>
      </c>
      <c r="J104" s="23" t="str">
        <f aca="false">IF(B104="","",IF(G104="not found","Invalid: coach ID not found",IF(B104=E104,"Invalid: self-coach",IF(G104&lt;&gt;"active","Invalid: coach inactive",IF(D104=E104,"Invalid: already assigned",IF(I104="At capacity","Invalid: at capacity","OK"))))))</f>
        <v/>
      </c>
      <c r="K104" s="22"/>
      <c r="L104" s="22"/>
    </row>
  </sheetData>
  <conditionalFormatting sqref="J5:J104">
    <cfRule type="expression" priority="2" aboveAverage="0" equalAverage="0" bottom="0" percent="0" rank="0" text="" dxfId="12">
      <formula>ISNUMBER(SEARCH("Invalid",J5))</formula>
    </cfRule>
    <cfRule type="expression" priority="3" aboveAverage="0" equalAverage="0" bottom="0" percent="0" rank="0" text="" dxfId="13">
      <formula>ISNUMBER(SEARCH("OK",J5))</formula>
    </cfRule>
  </conditionalFormatting>
  <dataValidations count="4">
    <dataValidation allowBlank="true" error="Enter a valid date" errorStyle="stop" operator="greaterThan" showDropDown="false" showErrorMessage="true" showInputMessage="false" sqref="A5:A104" type="date">
      <formula1>43831</formula1>
      <formula2>0</formula2>
    </dataValidation>
    <dataValidation allowBlank="true" errorStyle="stop" operator="between" showDropDown="false" showErrorMessage="true" showInputMessage="false" sqref="B5:B104" type="list">
      <formula1>Employees!$A$5:$A$200</formula1>
      <formula2>0</formula2>
    </dataValidation>
    <dataValidation allowBlank="true" errorStyle="stop" operator="between" showDropDown="false" showErrorMessage="true" showInputMessage="false" sqref="E5:E104" type="list">
      <formula1>Employees!$A$5:$A$200</formula1>
      <formula2>0</formula2>
    </dataValidation>
    <dataValidation allowBlank="true" errorStyle="stop" operator="between" showDropDown="false" showErrorMessage="true" showInputMessage="false" sqref="L5:L104" type="list">
      <formula1>Lists!$P$4:$P$7</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L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20"/>
    <col collapsed="false" customWidth="true" hidden="false" outlineLevel="0" max="4" min="4" style="0" width="14"/>
    <col collapsed="false" customWidth="true" hidden="false" outlineLevel="0" max="7" min="5" style="0" width="12"/>
    <col collapsed="false" customWidth="true" hidden="false" outlineLevel="0" max="9" min="8" style="0" width="16"/>
    <col collapsed="false" customWidth="true" hidden="false" outlineLevel="0" max="10" min="10" style="0" width="28"/>
    <col collapsed="false" customWidth="true" hidden="false" outlineLevel="0" max="11" min="11" style="0" width="12"/>
    <col collapsed="false" customWidth="true" hidden="false" outlineLevel="0" max="12" min="12" style="0" width="30"/>
  </cols>
  <sheetData>
    <row r="1" customFormat="false" ht="19.7" hidden="false" customHeight="false" outlineLevel="0" collapsed="false">
      <c r="A1" s="1" t="s">
        <v>163</v>
      </c>
    </row>
    <row r="2" customFormat="false" ht="15" hidden="false" customHeight="false" outlineLevel="0" collapsed="false">
      <c r="A2" s="2" t="s">
        <v>164</v>
      </c>
    </row>
    <row r="4" customFormat="false" ht="31.5" hidden="false" customHeight="true" outlineLevel="0" collapsed="false">
      <c r="A4" s="11" t="s">
        <v>165</v>
      </c>
      <c r="B4" s="11" t="s">
        <v>79</v>
      </c>
      <c r="C4" s="11" t="s">
        <v>80</v>
      </c>
      <c r="D4" s="11" t="s">
        <v>166</v>
      </c>
      <c r="E4" s="11" t="s">
        <v>167</v>
      </c>
      <c r="F4" s="11" t="s">
        <v>168</v>
      </c>
      <c r="G4" s="11" t="s">
        <v>169</v>
      </c>
      <c r="H4" s="11" t="s">
        <v>170</v>
      </c>
      <c r="I4" s="11" t="s">
        <v>171</v>
      </c>
      <c r="J4" s="11" t="s">
        <v>172</v>
      </c>
      <c r="K4" s="11" t="s">
        <v>86</v>
      </c>
      <c r="L4" s="11" t="s">
        <v>173</v>
      </c>
    </row>
    <row r="5" customFormat="false" ht="15" hidden="false" customHeight="false" outlineLevel="0" collapsed="false">
      <c r="A5" s="24" t="n">
        <v>46288</v>
      </c>
      <c r="B5" s="22" t="s">
        <v>109</v>
      </c>
      <c r="C5" s="25" t="str">
        <f aca="false">IF(B5="","",IFERROR(INDEX(Employees!$B$5:$B$200,MATCH(B5,Employees!$A$5:$A$200,0)),"ID not found"))</f>
        <v>Niamh Byrne</v>
      </c>
      <c r="D5" s="25" t="str">
        <f aca="false">IF(B5="","",IFERROR(INDEX(Employees!$I$5:$I$200,MATCH(B5,Employees!$A$5:$A$200,0)),"not found"))</f>
        <v>active</v>
      </c>
      <c r="E5" s="22" t="s">
        <v>174</v>
      </c>
      <c r="F5" s="34" t="n">
        <v>1400</v>
      </c>
      <c r="G5" s="35" t="n">
        <f aca="false">IF(E5="","",IF(E5="E-bike",Lists!$E$6,Lists!$E$5))</f>
        <v>1500</v>
      </c>
      <c r="H5" s="25" t="str">
        <f aca="false">IF(OR(F5="",G5=""),"",IF(AND(F5&gt;0,F5&lt;=G5),"Yes","No - exceeds cap"))</f>
        <v>Yes</v>
      </c>
      <c r="I5" s="24"/>
      <c r="J5" s="23" t="str">
        <f aca="false">IF(B5="","",IF(H5="","Incomplete",IF(D5&lt;&gt;"active","Not eligible: not active",IF(H5&lt;&gt;"Yes","Not eligible: cost",IF(I5="","Eligible",IF(EDATE(I5,12*Lists!$E$7)&lt;=A5,"Eligible","Not eligible: prior claim"))))))</f>
        <v>Eligible</v>
      </c>
      <c r="K5" s="22" t="s">
        <v>175</v>
      </c>
      <c r="L5" s="22" t="s">
        <v>176</v>
      </c>
    </row>
    <row r="6" customFormat="false" ht="15" hidden="false" customHeight="false" outlineLevel="0" collapsed="false">
      <c r="A6" s="24" t="n">
        <v>46296</v>
      </c>
      <c r="B6" s="22" t="s">
        <v>129</v>
      </c>
      <c r="C6" s="25" t="str">
        <f aca="false">IF(B6="","",IFERROR(INDEX(Employees!$B$5:$B$200,MATCH(B6,Employees!$A$5:$A$200,0)),"ID not found"))</f>
        <v>Ciara Kelly</v>
      </c>
      <c r="D6" s="25" t="str">
        <f aca="false">IF(B6="","",IFERROR(INDEX(Employees!$I$5:$I$200,MATCH(B6,Employees!$A$5:$A$200,0)),"not found"))</f>
        <v>active</v>
      </c>
      <c r="E6" s="22" t="s">
        <v>177</v>
      </c>
      <c r="F6" s="34" t="n">
        <v>950</v>
      </c>
      <c r="G6" s="35" t="n">
        <f aca="false">IF(E6="","",IF(E6="E-bike",Lists!$E$6,Lists!$E$5))</f>
        <v>1500</v>
      </c>
      <c r="H6" s="25" t="str">
        <f aca="false">IF(OR(F6="",G6=""),"",IF(AND(F6&gt;0,F6&lt;=G6),"Yes","No - exceeds cap"))</f>
        <v>Yes</v>
      </c>
      <c r="I6" s="24" t="n">
        <v>45422</v>
      </c>
      <c r="J6" s="23" t="str">
        <f aca="false">IF(B6="","",IF(H6="","Incomplete",IF(D6&lt;&gt;"active","Not eligible: not active",IF(H6&lt;&gt;"Yes","Not eligible: cost",IF(I6="","Eligible",IF(EDATE(I6,12*Lists!$E$7)&lt;=A6,"Eligible","Not eligible: prior claim"))))))</f>
        <v>Not eligible: prior claim</v>
      </c>
      <c r="K6" s="22" t="s">
        <v>162</v>
      </c>
      <c r="L6" s="22" t="s">
        <v>178</v>
      </c>
    </row>
    <row r="7" customFormat="false" ht="15" hidden="false" customHeight="false" outlineLevel="0" collapsed="false">
      <c r="A7" s="24"/>
      <c r="B7" s="22"/>
      <c r="C7" s="25" t="str">
        <f aca="false">IF(B7="","",IFERROR(INDEX(Employees!$B$5:$B$200,MATCH(B7,Employees!$A$5:$A$200,0)),"ID not found"))</f>
        <v/>
      </c>
      <c r="D7" s="25" t="str">
        <f aca="false">IF(B7="","",IFERROR(INDEX(Employees!$I$5:$I$200,MATCH(B7,Employees!$A$5:$A$200,0)),"not found"))</f>
        <v/>
      </c>
      <c r="E7" s="22"/>
      <c r="F7" s="34"/>
      <c r="G7" s="35" t="str">
        <f aca="false">IF(E7="","",IF(E7="E-bike",Lists!$E$6,Lists!$E$5))</f>
        <v/>
      </c>
      <c r="H7" s="25" t="str">
        <f aca="false">IF(OR(F7="",G7=""),"",IF(AND(F7&gt;0,F7&lt;=G7),"Yes","No - exceeds cap"))</f>
        <v/>
      </c>
      <c r="I7" s="24"/>
      <c r="J7" s="23" t="str">
        <f aca="false">IF(B7="","",IF(H7="","Incomplete",IF(D7&lt;&gt;"active","Not eligible: not active",IF(H7&lt;&gt;"Yes","Not eligible: cost",IF(I7="","Eligible",IF(EDATE(I7,12*Lists!$E$7)&lt;=A7,"Eligible","Not eligible: prior claim"))))))</f>
        <v/>
      </c>
      <c r="K7" s="22"/>
      <c r="L7" s="22"/>
    </row>
    <row r="8" customFormat="false" ht="15" hidden="false" customHeight="false" outlineLevel="0" collapsed="false">
      <c r="A8" s="24"/>
      <c r="B8" s="22"/>
      <c r="C8" s="25" t="str">
        <f aca="false">IF(B8="","",IFERROR(INDEX(Employees!$B$5:$B$200,MATCH(B8,Employees!$A$5:$A$200,0)),"ID not found"))</f>
        <v/>
      </c>
      <c r="D8" s="25" t="str">
        <f aca="false">IF(B8="","",IFERROR(INDEX(Employees!$I$5:$I$200,MATCH(B8,Employees!$A$5:$A$200,0)),"not found"))</f>
        <v/>
      </c>
      <c r="E8" s="22"/>
      <c r="F8" s="34"/>
      <c r="G8" s="35" t="str">
        <f aca="false">IF(E8="","",IF(E8="E-bike",Lists!$E$6,Lists!$E$5))</f>
        <v/>
      </c>
      <c r="H8" s="25" t="str">
        <f aca="false">IF(OR(F8="",G8=""),"",IF(AND(F8&gt;0,F8&lt;=G8),"Yes","No - exceeds cap"))</f>
        <v/>
      </c>
      <c r="I8" s="24"/>
      <c r="J8" s="23" t="str">
        <f aca="false">IF(B8="","",IF(H8="","Incomplete",IF(D8&lt;&gt;"active","Not eligible: not active",IF(H8&lt;&gt;"Yes","Not eligible: cost",IF(I8="","Eligible",IF(EDATE(I8,12*Lists!$E$7)&lt;=A8,"Eligible","Not eligible: prior claim"))))))</f>
        <v/>
      </c>
      <c r="K8" s="22"/>
      <c r="L8" s="22"/>
    </row>
    <row r="9" customFormat="false" ht="15" hidden="false" customHeight="false" outlineLevel="0" collapsed="false">
      <c r="A9" s="24"/>
      <c r="B9" s="22"/>
      <c r="C9" s="25" t="str">
        <f aca="false">IF(B9="","",IFERROR(INDEX(Employees!$B$5:$B$200,MATCH(B9,Employees!$A$5:$A$200,0)),"ID not found"))</f>
        <v/>
      </c>
      <c r="D9" s="25" t="str">
        <f aca="false">IF(B9="","",IFERROR(INDEX(Employees!$I$5:$I$200,MATCH(B9,Employees!$A$5:$A$200,0)),"not found"))</f>
        <v/>
      </c>
      <c r="E9" s="22"/>
      <c r="F9" s="34"/>
      <c r="G9" s="35" t="str">
        <f aca="false">IF(E9="","",IF(E9="E-bike",Lists!$E$6,Lists!$E$5))</f>
        <v/>
      </c>
      <c r="H9" s="25" t="str">
        <f aca="false">IF(OR(F9="",G9=""),"",IF(AND(F9&gt;0,F9&lt;=G9),"Yes","No - exceeds cap"))</f>
        <v/>
      </c>
      <c r="I9" s="24"/>
      <c r="J9" s="23" t="str">
        <f aca="false">IF(B9="","",IF(H9="","Incomplete",IF(D9&lt;&gt;"active","Not eligible: not active",IF(H9&lt;&gt;"Yes","Not eligible: cost",IF(I9="","Eligible",IF(EDATE(I9,12*Lists!$E$7)&lt;=A9,"Eligible","Not eligible: prior claim"))))))</f>
        <v/>
      </c>
      <c r="K9" s="22"/>
      <c r="L9" s="22"/>
    </row>
    <row r="10" customFormat="false" ht="15" hidden="false" customHeight="false" outlineLevel="0" collapsed="false">
      <c r="A10" s="24"/>
      <c r="B10" s="22"/>
      <c r="C10" s="25" t="str">
        <f aca="false">IF(B10="","",IFERROR(INDEX(Employees!$B$5:$B$200,MATCH(B10,Employees!$A$5:$A$200,0)),"ID not found"))</f>
        <v/>
      </c>
      <c r="D10" s="25" t="str">
        <f aca="false">IF(B10="","",IFERROR(INDEX(Employees!$I$5:$I$200,MATCH(B10,Employees!$A$5:$A$200,0)),"not found"))</f>
        <v/>
      </c>
      <c r="E10" s="22"/>
      <c r="F10" s="34"/>
      <c r="G10" s="35" t="str">
        <f aca="false">IF(E10="","",IF(E10="E-bike",Lists!$E$6,Lists!$E$5))</f>
        <v/>
      </c>
      <c r="H10" s="25" t="str">
        <f aca="false">IF(OR(F10="",G10=""),"",IF(AND(F10&gt;0,F10&lt;=G10),"Yes","No - exceeds cap"))</f>
        <v/>
      </c>
      <c r="I10" s="24"/>
      <c r="J10" s="23" t="str">
        <f aca="false">IF(B10="","",IF(H10="","Incomplete",IF(D10&lt;&gt;"active","Not eligible: not active",IF(H10&lt;&gt;"Yes","Not eligible: cost",IF(I10="","Eligible",IF(EDATE(I10,12*Lists!$E$7)&lt;=A10,"Eligible","Not eligible: prior claim"))))))</f>
        <v/>
      </c>
      <c r="K10" s="22"/>
      <c r="L10" s="22"/>
    </row>
    <row r="11" customFormat="false" ht="15" hidden="false" customHeight="false" outlineLevel="0" collapsed="false">
      <c r="A11" s="24"/>
      <c r="B11" s="22"/>
      <c r="C11" s="25" t="str">
        <f aca="false">IF(B11="","",IFERROR(INDEX(Employees!$B$5:$B$200,MATCH(B11,Employees!$A$5:$A$200,0)),"ID not found"))</f>
        <v/>
      </c>
      <c r="D11" s="25" t="str">
        <f aca="false">IF(B11="","",IFERROR(INDEX(Employees!$I$5:$I$200,MATCH(B11,Employees!$A$5:$A$200,0)),"not found"))</f>
        <v/>
      </c>
      <c r="E11" s="22"/>
      <c r="F11" s="34"/>
      <c r="G11" s="35" t="str">
        <f aca="false">IF(E11="","",IF(E11="E-bike",Lists!$E$6,Lists!$E$5))</f>
        <v/>
      </c>
      <c r="H11" s="25" t="str">
        <f aca="false">IF(OR(F11="",G11=""),"",IF(AND(F11&gt;0,F11&lt;=G11),"Yes","No - exceeds cap"))</f>
        <v/>
      </c>
      <c r="I11" s="24"/>
      <c r="J11" s="23" t="str">
        <f aca="false">IF(B11="","",IF(H11="","Incomplete",IF(D11&lt;&gt;"active","Not eligible: not active",IF(H11&lt;&gt;"Yes","Not eligible: cost",IF(I11="","Eligible",IF(EDATE(I11,12*Lists!$E$7)&lt;=A11,"Eligible","Not eligible: prior claim"))))))</f>
        <v/>
      </c>
      <c r="K11" s="22"/>
      <c r="L11" s="22"/>
    </row>
    <row r="12" customFormat="false" ht="15" hidden="false" customHeight="false" outlineLevel="0" collapsed="false">
      <c r="A12" s="24"/>
      <c r="B12" s="22"/>
      <c r="C12" s="25" t="str">
        <f aca="false">IF(B12="","",IFERROR(INDEX(Employees!$B$5:$B$200,MATCH(B12,Employees!$A$5:$A$200,0)),"ID not found"))</f>
        <v/>
      </c>
      <c r="D12" s="25" t="str">
        <f aca="false">IF(B12="","",IFERROR(INDEX(Employees!$I$5:$I$200,MATCH(B12,Employees!$A$5:$A$200,0)),"not found"))</f>
        <v/>
      </c>
      <c r="E12" s="22"/>
      <c r="F12" s="34"/>
      <c r="G12" s="35" t="str">
        <f aca="false">IF(E12="","",IF(E12="E-bike",Lists!$E$6,Lists!$E$5))</f>
        <v/>
      </c>
      <c r="H12" s="25" t="str">
        <f aca="false">IF(OR(F12="",G12=""),"",IF(AND(F12&gt;0,F12&lt;=G12),"Yes","No - exceeds cap"))</f>
        <v/>
      </c>
      <c r="I12" s="24"/>
      <c r="J12" s="23" t="str">
        <f aca="false">IF(B12="","",IF(H12="","Incomplete",IF(D12&lt;&gt;"active","Not eligible: not active",IF(H12&lt;&gt;"Yes","Not eligible: cost",IF(I12="","Eligible",IF(EDATE(I12,12*Lists!$E$7)&lt;=A12,"Eligible","Not eligible: prior claim"))))))</f>
        <v/>
      </c>
      <c r="K12" s="22"/>
      <c r="L12" s="22"/>
    </row>
    <row r="13" customFormat="false" ht="15" hidden="false" customHeight="false" outlineLevel="0" collapsed="false">
      <c r="A13" s="24"/>
      <c r="B13" s="22"/>
      <c r="C13" s="25" t="str">
        <f aca="false">IF(B13="","",IFERROR(INDEX(Employees!$B$5:$B$200,MATCH(B13,Employees!$A$5:$A$200,0)),"ID not found"))</f>
        <v/>
      </c>
      <c r="D13" s="25" t="str">
        <f aca="false">IF(B13="","",IFERROR(INDEX(Employees!$I$5:$I$200,MATCH(B13,Employees!$A$5:$A$200,0)),"not found"))</f>
        <v/>
      </c>
      <c r="E13" s="22"/>
      <c r="F13" s="34"/>
      <c r="G13" s="35" t="str">
        <f aca="false">IF(E13="","",IF(E13="E-bike",Lists!$E$6,Lists!$E$5))</f>
        <v/>
      </c>
      <c r="H13" s="25" t="str">
        <f aca="false">IF(OR(F13="",G13=""),"",IF(AND(F13&gt;0,F13&lt;=G13),"Yes","No - exceeds cap"))</f>
        <v/>
      </c>
      <c r="I13" s="24"/>
      <c r="J13" s="23" t="str">
        <f aca="false">IF(B13="","",IF(H13="","Incomplete",IF(D13&lt;&gt;"active","Not eligible: not active",IF(H13&lt;&gt;"Yes","Not eligible: cost",IF(I13="","Eligible",IF(EDATE(I13,12*Lists!$E$7)&lt;=A13,"Eligible","Not eligible: prior claim"))))))</f>
        <v/>
      </c>
      <c r="K13" s="22"/>
      <c r="L13" s="22"/>
    </row>
    <row r="14" customFormat="false" ht="15" hidden="false" customHeight="false" outlineLevel="0" collapsed="false">
      <c r="A14" s="24"/>
      <c r="B14" s="22"/>
      <c r="C14" s="25" t="str">
        <f aca="false">IF(B14="","",IFERROR(INDEX(Employees!$B$5:$B$200,MATCH(B14,Employees!$A$5:$A$200,0)),"ID not found"))</f>
        <v/>
      </c>
      <c r="D14" s="25" t="str">
        <f aca="false">IF(B14="","",IFERROR(INDEX(Employees!$I$5:$I$200,MATCH(B14,Employees!$A$5:$A$200,0)),"not found"))</f>
        <v/>
      </c>
      <c r="E14" s="22"/>
      <c r="F14" s="34"/>
      <c r="G14" s="35" t="str">
        <f aca="false">IF(E14="","",IF(E14="E-bike",Lists!$E$6,Lists!$E$5))</f>
        <v/>
      </c>
      <c r="H14" s="25" t="str">
        <f aca="false">IF(OR(F14="",G14=""),"",IF(AND(F14&gt;0,F14&lt;=G14),"Yes","No - exceeds cap"))</f>
        <v/>
      </c>
      <c r="I14" s="24"/>
      <c r="J14" s="23" t="str">
        <f aca="false">IF(B14="","",IF(H14="","Incomplete",IF(D14&lt;&gt;"active","Not eligible: not active",IF(H14&lt;&gt;"Yes","Not eligible: cost",IF(I14="","Eligible",IF(EDATE(I14,12*Lists!$E$7)&lt;=A14,"Eligible","Not eligible: prior claim"))))))</f>
        <v/>
      </c>
      <c r="K14" s="22"/>
      <c r="L14" s="22"/>
    </row>
    <row r="15" customFormat="false" ht="15" hidden="false" customHeight="false" outlineLevel="0" collapsed="false">
      <c r="A15" s="24"/>
      <c r="B15" s="22"/>
      <c r="C15" s="25" t="str">
        <f aca="false">IF(B15="","",IFERROR(INDEX(Employees!$B$5:$B$200,MATCH(B15,Employees!$A$5:$A$200,0)),"ID not found"))</f>
        <v/>
      </c>
      <c r="D15" s="25" t="str">
        <f aca="false">IF(B15="","",IFERROR(INDEX(Employees!$I$5:$I$200,MATCH(B15,Employees!$A$5:$A$200,0)),"not found"))</f>
        <v/>
      </c>
      <c r="E15" s="22"/>
      <c r="F15" s="34"/>
      <c r="G15" s="35" t="str">
        <f aca="false">IF(E15="","",IF(E15="E-bike",Lists!$E$6,Lists!$E$5))</f>
        <v/>
      </c>
      <c r="H15" s="25" t="str">
        <f aca="false">IF(OR(F15="",G15=""),"",IF(AND(F15&gt;0,F15&lt;=G15),"Yes","No - exceeds cap"))</f>
        <v/>
      </c>
      <c r="I15" s="24"/>
      <c r="J15" s="23" t="str">
        <f aca="false">IF(B15="","",IF(H15="","Incomplete",IF(D15&lt;&gt;"active","Not eligible: not active",IF(H15&lt;&gt;"Yes","Not eligible: cost",IF(I15="","Eligible",IF(EDATE(I15,12*Lists!$E$7)&lt;=A15,"Eligible","Not eligible: prior claim"))))))</f>
        <v/>
      </c>
      <c r="K15" s="22"/>
      <c r="L15" s="22"/>
    </row>
    <row r="16" customFormat="false" ht="15" hidden="false" customHeight="false" outlineLevel="0" collapsed="false">
      <c r="A16" s="24"/>
      <c r="B16" s="22"/>
      <c r="C16" s="25" t="str">
        <f aca="false">IF(B16="","",IFERROR(INDEX(Employees!$B$5:$B$200,MATCH(B16,Employees!$A$5:$A$200,0)),"ID not found"))</f>
        <v/>
      </c>
      <c r="D16" s="25" t="str">
        <f aca="false">IF(B16="","",IFERROR(INDEX(Employees!$I$5:$I$200,MATCH(B16,Employees!$A$5:$A$200,0)),"not found"))</f>
        <v/>
      </c>
      <c r="E16" s="22"/>
      <c r="F16" s="34"/>
      <c r="G16" s="35" t="str">
        <f aca="false">IF(E16="","",IF(E16="E-bike",Lists!$E$6,Lists!$E$5))</f>
        <v/>
      </c>
      <c r="H16" s="25" t="str">
        <f aca="false">IF(OR(F16="",G16=""),"",IF(AND(F16&gt;0,F16&lt;=G16),"Yes","No - exceeds cap"))</f>
        <v/>
      </c>
      <c r="I16" s="24"/>
      <c r="J16" s="23" t="str">
        <f aca="false">IF(B16="","",IF(H16="","Incomplete",IF(D16&lt;&gt;"active","Not eligible: not active",IF(H16&lt;&gt;"Yes","Not eligible: cost",IF(I16="","Eligible",IF(EDATE(I16,12*Lists!$E$7)&lt;=A16,"Eligible","Not eligible: prior claim"))))))</f>
        <v/>
      </c>
      <c r="K16" s="22"/>
      <c r="L16" s="22"/>
    </row>
    <row r="17" customFormat="false" ht="15" hidden="false" customHeight="false" outlineLevel="0" collapsed="false">
      <c r="A17" s="24"/>
      <c r="B17" s="22"/>
      <c r="C17" s="25" t="str">
        <f aca="false">IF(B17="","",IFERROR(INDEX(Employees!$B$5:$B$200,MATCH(B17,Employees!$A$5:$A$200,0)),"ID not found"))</f>
        <v/>
      </c>
      <c r="D17" s="25" t="str">
        <f aca="false">IF(B17="","",IFERROR(INDEX(Employees!$I$5:$I$200,MATCH(B17,Employees!$A$5:$A$200,0)),"not found"))</f>
        <v/>
      </c>
      <c r="E17" s="22"/>
      <c r="F17" s="34"/>
      <c r="G17" s="35" t="str">
        <f aca="false">IF(E17="","",IF(E17="E-bike",Lists!$E$6,Lists!$E$5))</f>
        <v/>
      </c>
      <c r="H17" s="25" t="str">
        <f aca="false">IF(OR(F17="",G17=""),"",IF(AND(F17&gt;0,F17&lt;=G17),"Yes","No - exceeds cap"))</f>
        <v/>
      </c>
      <c r="I17" s="24"/>
      <c r="J17" s="23" t="str">
        <f aca="false">IF(B17="","",IF(H17="","Incomplete",IF(D17&lt;&gt;"active","Not eligible: not active",IF(H17&lt;&gt;"Yes","Not eligible: cost",IF(I17="","Eligible",IF(EDATE(I17,12*Lists!$E$7)&lt;=A17,"Eligible","Not eligible: prior claim"))))))</f>
        <v/>
      </c>
      <c r="K17" s="22"/>
      <c r="L17" s="22"/>
    </row>
    <row r="18" customFormat="false" ht="15" hidden="false" customHeight="false" outlineLevel="0" collapsed="false">
      <c r="A18" s="24"/>
      <c r="B18" s="22"/>
      <c r="C18" s="25" t="str">
        <f aca="false">IF(B18="","",IFERROR(INDEX(Employees!$B$5:$B$200,MATCH(B18,Employees!$A$5:$A$200,0)),"ID not found"))</f>
        <v/>
      </c>
      <c r="D18" s="25" t="str">
        <f aca="false">IF(B18="","",IFERROR(INDEX(Employees!$I$5:$I$200,MATCH(B18,Employees!$A$5:$A$200,0)),"not found"))</f>
        <v/>
      </c>
      <c r="E18" s="22"/>
      <c r="F18" s="34"/>
      <c r="G18" s="35" t="str">
        <f aca="false">IF(E18="","",IF(E18="E-bike",Lists!$E$6,Lists!$E$5))</f>
        <v/>
      </c>
      <c r="H18" s="25" t="str">
        <f aca="false">IF(OR(F18="",G18=""),"",IF(AND(F18&gt;0,F18&lt;=G18),"Yes","No - exceeds cap"))</f>
        <v/>
      </c>
      <c r="I18" s="24"/>
      <c r="J18" s="23" t="str">
        <f aca="false">IF(B18="","",IF(H18="","Incomplete",IF(D18&lt;&gt;"active","Not eligible: not active",IF(H18&lt;&gt;"Yes","Not eligible: cost",IF(I18="","Eligible",IF(EDATE(I18,12*Lists!$E$7)&lt;=A18,"Eligible","Not eligible: prior claim"))))))</f>
        <v/>
      </c>
      <c r="K18" s="22"/>
      <c r="L18" s="22"/>
    </row>
    <row r="19" customFormat="false" ht="15" hidden="false" customHeight="false" outlineLevel="0" collapsed="false">
      <c r="A19" s="24"/>
      <c r="B19" s="22"/>
      <c r="C19" s="25" t="str">
        <f aca="false">IF(B19="","",IFERROR(INDEX(Employees!$B$5:$B$200,MATCH(B19,Employees!$A$5:$A$200,0)),"ID not found"))</f>
        <v/>
      </c>
      <c r="D19" s="25" t="str">
        <f aca="false">IF(B19="","",IFERROR(INDEX(Employees!$I$5:$I$200,MATCH(B19,Employees!$A$5:$A$200,0)),"not found"))</f>
        <v/>
      </c>
      <c r="E19" s="22"/>
      <c r="F19" s="34"/>
      <c r="G19" s="35" t="str">
        <f aca="false">IF(E19="","",IF(E19="E-bike",Lists!$E$6,Lists!$E$5))</f>
        <v/>
      </c>
      <c r="H19" s="25" t="str">
        <f aca="false">IF(OR(F19="",G19=""),"",IF(AND(F19&gt;0,F19&lt;=G19),"Yes","No - exceeds cap"))</f>
        <v/>
      </c>
      <c r="I19" s="24"/>
      <c r="J19" s="23" t="str">
        <f aca="false">IF(B19="","",IF(H19="","Incomplete",IF(D19&lt;&gt;"active","Not eligible: not active",IF(H19&lt;&gt;"Yes","Not eligible: cost",IF(I19="","Eligible",IF(EDATE(I19,12*Lists!$E$7)&lt;=A19,"Eligible","Not eligible: prior claim"))))))</f>
        <v/>
      </c>
      <c r="K19" s="22"/>
      <c r="L19" s="22"/>
    </row>
    <row r="20" customFormat="false" ht="15" hidden="false" customHeight="false" outlineLevel="0" collapsed="false">
      <c r="A20" s="24"/>
      <c r="B20" s="22"/>
      <c r="C20" s="25" t="str">
        <f aca="false">IF(B20="","",IFERROR(INDEX(Employees!$B$5:$B$200,MATCH(B20,Employees!$A$5:$A$200,0)),"ID not found"))</f>
        <v/>
      </c>
      <c r="D20" s="25" t="str">
        <f aca="false">IF(B20="","",IFERROR(INDEX(Employees!$I$5:$I$200,MATCH(B20,Employees!$A$5:$A$200,0)),"not found"))</f>
        <v/>
      </c>
      <c r="E20" s="22"/>
      <c r="F20" s="34"/>
      <c r="G20" s="35" t="str">
        <f aca="false">IF(E20="","",IF(E20="E-bike",Lists!$E$6,Lists!$E$5))</f>
        <v/>
      </c>
      <c r="H20" s="25" t="str">
        <f aca="false">IF(OR(F20="",G20=""),"",IF(AND(F20&gt;0,F20&lt;=G20),"Yes","No - exceeds cap"))</f>
        <v/>
      </c>
      <c r="I20" s="24"/>
      <c r="J20" s="23" t="str">
        <f aca="false">IF(B20="","",IF(H20="","Incomplete",IF(D20&lt;&gt;"active","Not eligible: not active",IF(H20&lt;&gt;"Yes","Not eligible: cost",IF(I20="","Eligible",IF(EDATE(I20,12*Lists!$E$7)&lt;=A20,"Eligible","Not eligible: prior claim"))))))</f>
        <v/>
      </c>
      <c r="K20" s="22"/>
      <c r="L20" s="22"/>
    </row>
    <row r="21" customFormat="false" ht="15" hidden="false" customHeight="false" outlineLevel="0" collapsed="false">
      <c r="A21" s="24"/>
      <c r="B21" s="22"/>
      <c r="C21" s="25" t="str">
        <f aca="false">IF(B21="","",IFERROR(INDEX(Employees!$B$5:$B$200,MATCH(B21,Employees!$A$5:$A$200,0)),"ID not found"))</f>
        <v/>
      </c>
      <c r="D21" s="25" t="str">
        <f aca="false">IF(B21="","",IFERROR(INDEX(Employees!$I$5:$I$200,MATCH(B21,Employees!$A$5:$A$200,0)),"not found"))</f>
        <v/>
      </c>
      <c r="E21" s="22"/>
      <c r="F21" s="34"/>
      <c r="G21" s="35" t="str">
        <f aca="false">IF(E21="","",IF(E21="E-bike",Lists!$E$6,Lists!$E$5))</f>
        <v/>
      </c>
      <c r="H21" s="25" t="str">
        <f aca="false">IF(OR(F21="",G21=""),"",IF(AND(F21&gt;0,F21&lt;=G21),"Yes","No - exceeds cap"))</f>
        <v/>
      </c>
      <c r="I21" s="24"/>
      <c r="J21" s="23" t="str">
        <f aca="false">IF(B21="","",IF(H21="","Incomplete",IF(D21&lt;&gt;"active","Not eligible: not active",IF(H21&lt;&gt;"Yes","Not eligible: cost",IF(I21="","Eligible",IF(EDATE(I21,12*Lists!$E$7)&lt;=A21,"Eligible","Not eligible: prior claim"))))))</f>
        <v/>
      </c>
      <c r="K21" s="22"/>
      <c r="L21" s="22"/>
    </row>
    <row r="22" customFormat="false" ht="15" hidden="false" customHeight="false" outlineLevel="0" collapsed="false">
      <c r="A22" s="24"/>
      <c r="B22" s="22"/>
      <c r="C22" s="25" t="str">
        <f aca="false">IF(B22="","",IFERROR(INDEX(Employees!$B$5:$B$200,MATCH(B22,Employees!$A$5:$A$200,0)),"ID not found"))</f>
        <v/>
      </c>
      <c r="D22" s="25" t="str">
        <f aca="false">IF(B22="","",IFERROR(INDEX(Employees!$I$5:$I$200,MATCH(B22,Employees!$A$5:$A$200,0)),"not found"))</f>
        <v/>
      </c>
      <c r="E22" s="22"/>
      <c r="F22" s="34"/>
      <c r="G22" s="35" t="str">
        <f aca="false">IF(E22="","",IF(E22="E-bike",Lists!$E$6,Lists!$E$5))</f>
        <v/>
      </c>
      <c r="H22" s="25" t="str">
        <f aca="false">IF(OR(F22="",G22=""),"",IF(AND(F22&gt;0,F22&lt;=G22),"Yes","No - exceeds cap"))</f>
        <v/>
      </c>
      <c r="I22" s="24"/>
      <c r="J22" s="23" t="str">
        <f aca="false">IF(B22="","",IF(H22="","Incomplete",IF(D22&lt;&gt;"active","Not eligible: not active",IF(H22&lt;&gt;"Yes","Not eligible: cost",IF(I22="","Eligible",IF(EDATE(I22,12*Lists!$E$7)&lt;=A22,"Eligible","Not eligible: prior claim"))))))</f>
        <v/>
      </c>
      <c r="K22" s="22"/>
      <c r="L22" s="22"/>
    </row>
    <row r="23" customFormat="false" ht="15" hidden="false" customHeight="false" outlineLevel="0" collapsed="false">
      <c r="A23" s="24"/>
      <c r="B23" s="22"/>
      <c r="C23" s="25" t="str">
        <f aca="false">IF(B23="","",IFERROR(INDEX(Employees!$B$5:$B$200,MATCH(B23,Employees!$A$5:$A$200,0)),"ID not found"))</f>
        <v/>
      </c>
      <c r="D23" s="25" t="str">
        <f aca="false">IF(B23="","",IFERROR(INDEX(Employees!$I$5:$I$200,MATCH(B23,Employees!$A$5:$A$200,0)),"not found"))</f>
        <v/>
      </c>
      <c r="E23" s="22"/>
      <c r="F23" s="34"/>
      <c r="G23" s="35" t="str">
        <f aca="false">IF(E23="","",IF(E23="E-bike",Lists!$E$6,Lists!$E$5))</f>
        <v/>
      </c>
      <c r="H23" s="25" t="str">
        <f aca="false">IF(OR(F23="",G23=""),"",IF(AND(F23&gt;0,F23&lt;=G23),"Yes","No - exceeds cap"))</f>
        <v/>
      </c>
      <c r="I23" s="24"/>
      <c r="J23" s="23" t="str">
        <f aca="false">IF(B23="","",IF(H23="","Incomplete",IF(D23&lt;&gt;"active","Not eligible: not active",IF(H23&lt;&gt;"Yes","Not eligible: cost",IF(I23="","Eligible",IF(EDATE(I23,12*Lists!$E$7)&lt;=A23,"Eligible","Not eligible: prior claim"))))))</f>
        <v/>
      </c>
      <c r="K23" s="22"/>
      <c r="L23" s="22"/>
    </row>
    <row r="24" customFormat="false" ht="15" hidden="false" customHeight="false" outlineLevel="0" collapsed="false">
      <c r="A24" s="24"/>
      <c r="B24" s="22"/>
      <c r="C24" s="25" t="str">
        <f aca="false">IF(B24="","",IFERROR(INDEX(Employees!$B$5:$B$200,MATCH(B24,Employees!$A$5:$A$200,0)),"ID not found"))</f>
        <v/>
      </c>
      <c r="D24" s="25" t="str">
        <f aca="false">IF(B24="","",IFERROR(INDEX(Employees!$I$5:$I$200,MATCH(B24,Employees!$A$5:$A$200,0)),"not found"))</f>
        <v/>
      </c>
      <c r="E24" s="22"/>
      <c r="F24" s="34"/>
      <c r="G24" s="35" t="str">
        <f aca="false">IF(E24="","",IF(E24="E-bike",Lists!$E$6,Lists!$E$5))</f>
        <v/>
      </c>
      <c r="H24" s="25" t="str">
        <f aca="false">IF(OR(F24="",G24=""),"",IF(AND(F24&gt;0,F24&lt;=G24),"Yes","No - exceeds cap"))</f>
        <v/>
      </c>
      <c r="I24" s="24"/>
      <c r="J24" s="23" t="str">
        <f aca="false">IF(B24="","",IF(H24="","Incomplete",IF(D24&lt;&gt;"active","Not eligible: not active",IF(H24&lt;&gt;"Yes","Not eligible: cost",IF(I24="","Eligible",IF(EDATE(I24,12*Lists!$E$7)&lt;=A24,"Eligible","Not eligible: prior claim"))))))</f>
        <v/>
      </c>
      <c r="K24" s="22"/>
      <c r="L24" s="22"/>
    </row>
    <row r="25" customFormat="false" ht="15" hidden="false" customHeight="false" outlineLevel="0" collapsed="false">
      <c r="A25" s="24"/>
      <c r="B25" s="22"/>
      <c r="C25" s="25" t="str">
        <f aca="false">IF(B25="","",IFERROR(INDEX(Employees!$B$5:$B$200,MATCH(B25,Employees!$A$5:$A$200,0)),"ID not found"))</f>
        <v/>
      </c>
      <c r="D25" s="25" t="str">
        <f aca="false">IF(B25="","",IFERROR(INDEX(Employees!$I$5:$I$200,MATCH(B25,Employees!$A$5:$A$200,0)),"not found"))</f>
        <v/>
      </c>
      <c r="E25" s="22"/>
      <c r="F25" s="34"/>
      <c r="G25" s="35" t="str">
        <f aca="false">IF(E25="","",IF(E25="E-bike",Lists!$E$6,Lists!$E$5))</f>
        <v/>
      </c>
      <c r="H25" s="25" t="str">
        <f aca="false">IF(OR(F25="",G25=""),"",IF(AND(F25&gt;0,F25&lt;=G25),"Yes","No - exceeds cap"))</f>
        <v/>
      </c>
      <c r="I25" s="24"/>
      <c r="J25" s="23" t="str">
        <f aca="false">IF(B25="","",IF(H25="","Incomplete",IF(D25&lt;&gt;"active","Not eligible: not active",IF(H25&lt;&gt;"Yes","Not eligible: cost",IF(I25="","Eligible",IF(EDATE(I25,12*Lists!$E$7)&lt;=A25,"Eligible","Not eligible: prior claim"))))))</f>
        <v/>
      </c>
      <c r="K25" s="22"/>
      <c r="L25" s="22"/>
    </row>
    <row r="26" customFormat="false" ht="15" hidden="false" customHeight="false" outlineLevel="0" collapsed="false">
      <c r="A26" s="24"/>
      <c r="B26" s="22"/>
      <c r="C26" s="25" t="str">
        <f aca="false">IF(B26="","",IFERROR(INDEX(Employees!$B$5:$B$200,MATCH(B26,Employees!$A$5:$A$200,0)),"ID not found"))</f>
        <v/>
      </c>
      <c r="D26" s="25" t="str">
        <f aca="false">IF(B26="","",IFERROR(INDEX(Employees!$I$5:$I$200,MATCH(B26,Employees!$A$5:$A$200,0)),"not found"))</f>
        <v/>
      </c>
      <c r="E26" s="22"/>
      <c r="F26" s="34"/>
      <c r="G26" s="35" t="str">
        <f aca="false">IF(E26="","",IF(E26="E-bike",Lists!$E$6,Lists!$E$5))</f>
        <v/>
      </c>
      <c r="H26" s="25" t="str">
        <f aca="false">IF(OR(F26="",G26=""),"",IF(AND(F26&gt;0,F26&lt;=G26),"Yes","No - exceeds cap"))</f>
        <v/>
      </c>
      <c r="I26" s="24"/>
      <c r="J26" s="23" t="str">
        <f aca="false">IF(B26="","",IF(H26="","Incomplete",IF(D26&lt;&gt;"active","Not eligible: not active",IF(H26&lt;&gt;"Yes","Not eligible: cost",IF(I26="","Eligible",IF(EDATE(I26,12*Lists!$E$7)&lt;=A26,"Eligible","Not eligible: prior claim"))))))</f>
        <v/>
      </c>
      <c r="K26" s="22"/>
      <c r="L26" s="22"/>
    </row>
    <row r="27" customFormat="false" ht="15" hidden="false" customHeight="false" outlineLevel="0" collapsed="false">
      <c r="A27" s="24"/>
      <c r="B27" s="22"/>
      <c r="C27" s="25" t="str">
        <f aca="false">IF(B27="","",IFERROR(INDEX(Employees!$B$5:$B$200,MATCH(B27,Employees!$A$5:$A$200,0)),"ID not found"))</f>
        <v/>
      </c>
      <c r="D27" s="25" t="str">
        <f aca="false">IF(B27="","",IFERROR(INDEX(Employees!$I$5:$I$200,MATCH(B27,Employees!$A$5:$A$200,0)),"not found"))</f>
        <v/>
      </c>
      <c r="E27" s="22"/>
      <c r="F27" s="34"/>
      <c r="G27" s="35" t="str">
        <f aca="false">IF(E27="","",IF(E27="E-bike",Lists!$E$6,Lists!$E$5))</f>
        <v/>
      </c>
      <c r="H27" s="25" t="str">
        <f aca="false">IF(OR(F27="",G27=""),"",IF(AND(F27&gt;0,F27&lt;=G27),"Yes","No - exceeds cap"))</f>
        <v/>
      </c>
      <c r="I27" s="24"/>
      <c r="J27" s="23" t="str">
        <f aca="false">IF(B27="","",IF(H27="","Incomplete",IF(D27&lt;&gt;"active","Not eligible: not active",IF(H27&lt;&gt;"Yes","Not eligible: cost",IF(I27="","Eligible",IF(EDATE(I27,12*Lists!$E$7)&lt;=A27,"Eligible","Not eligible: prior claim"))))))</f>
        <v/>
      </c>
      <c r="K27" s="22"/>
      <c r="L27" s="22"/>
    </row>
    <row r="28" customFormat="false" ht="15" hidden="false" customHeight="false" outlineLevel="0" collapsed="false">
      <c r="A28" s="24"/>
      <c r="B28" s="22"/>
      <c r="C28" s="25" t="str">
        <f aca="false">IF(B28="","",IFERROR(INDEX(Employees!$B$5:$B$200,MATCH(B28,Employees!$A$5:$A$200,0)),"ID not found"))</f>
        <v/>
      </c>
      <c r="D28" s="25" t="str">
        <f aca="false">IF(B28="","",IFERROR(INDEX(Employees!$I$5:$I$200,MATCH(B28,Employees!$A$5:$A$200,0)),"not found"))</f>
        <v/>
      </c>
      <c r="E28" s="22"/>
      <c r="F28" s="34"/>
      <c r="G28" s="35" t="str">
        <f aca="false">IF(E28="","",IF(E28="E-bike",Lists!$E$6,Lists!$E$5))</f>
        <v/>
      </c>
      <c r="H28" s="25" t="str">
        <f aca="false">IF(OR(F28="",G28=""),"",IF(AND(F28&gt;0,F28&lt;=G28),"Yes","No - exceeds cap"))</f>
        <v/>
      </c>
      <c r="I28" s="24"/>
      <c r="J28" s="23" t="str">
        <f aca="false">IF(B28="","",IF(H28="","Incomplete",IF(D28&lt;&gt;"active","Not eligible: not active",IF(H28&lt;&gt;"Yes","Not eligible: cost",IF(I28="","Eligible",IF(EDATE(I28,12*Lists!$E$7)&lt;=A28,"Eligible","Not eligible: prior claim"))))))</f>
        <v/>
      </c>
      <c r="K28" s="22"/>
      <c r="L28" s="22"/>
    </row>
    <row r="29" customFormat="false" ht="15" hidden="false" customHeight="false" outlineLevel="0" collapsed="false">
      <c r="A29" s="24"/>
      <c r="B29" s="22"/>
      <c r="C29" s="25" t="str">
        <f aca="false">IF(B29="","",IFERROR(INDEX(Employees!$B$5:$B$200,MATCH(B29,Employees!$A$5:$A$200,0)),"ID not found"))</f>
        <v/>
      </c>
      <c r="D29" s="25" t="str">
        <f aca="false">IF(B29="","",IFERROR(INDEX(Employees!$I$5:$I$200,MATCH(B29,Employees!$A$5:$A$200,0)),"not found"))</f>
        <v/>
      </c>
      <c r="E29" s="22"/>
      <c r="F29" s="34"/>
      <c r="G29" s="35" t="str">
        <f aca="false">IF(E29="","",IF(E29="E-bike",Lists!$E$6,Lists!$E$5))</f>
        <v/>
      </c>
      <c r="H29" s="25" t="str">
        <f aca="false">IF(OR(F29="",G29=""),"",IF(AND(F29&gt;0,F29&lt;=G29),"Yes","No - exceeds cap"))</f>
        <v/>
      </c>
      <c r="I29" s="24"/>
      <c r="J29" s="23" t="str">
        <f aca="false">IF(B29="","",IF(H29="","Incomplete",IF(D29&lt;&gt;"active","Not eligible: not active",IF(H29&lt;&gt;"Yes","Not eligible: cost",IF(I29="","Eligible",IF(EDATE(I29,12*Lists!$E$7)&lt;=A29,"Eligible","Not eligible: prior claim"))))))</f>
        <v/>
      </c>
      <c r="K29" s="22"/>
      <c r="L29" s="22"/>
    </row>
    <row r="30" customFormat="false" ht="15" hidden="false" customHeight="false" outlineLevel="0" collapsed="false">
      <c r="A30" s="24"/>
      <c r="B30" s="22"/>
      <c r="C30" s="25" t="str">
        <f aca="false">IF(B30="","",IFERROR(INDEX(Employees!$B$5:$B$200,MATCH(B30,Employees!$A$5:$A$200,0)),"ID not found"))</f>
        <v/>
      </c>
      <c r="D30" s="25" t="str">
        <f aca="false">IF(B30="","",IFERROR(INDEX(Employees!$I$5:$I$200,MATCH(B30,Employees!$A$5:$A$200,0)),"not found"))</f>
        <v/>
      </c>
      <c r="E30" s="22"/>
      <c r="F30" s="34"/>
      <c r="G30" s="35" t="str">
        <f aca="false">IF(E30="","",IF(E30="E-bike",Lists!$E$6,Lists!$E$5))</f>
        <v/>
      </c>
      <c r="H30" s="25" t="str">
        <f aca="false">IF(OR(F30="",G30=""),"",IF(AND(F30&gt;0,F30&lt;=G30),"Yes","No - exceeds cap"))</f>
        <v/>
      </c>
      <c r="I30" s="24"/>
      <c r="J30" s="23" t="str">
        <f aca="false">IF(B30="","",IF(H30="","Incomplete",IF(D30&lt;&gt;"active","Not eligible: not active",IF(H30&lt;&gt;"Yes","Not eligible: cost",IF(I30="","Eligible",IF(EDATE(I30,12*Lists!$E$7)&lt;=A30,"Eligible","Not eligible: prior claim"))))))</f>
        <v/>
      </c>
      <c r="K30" s="22"/>
      <c r="L30" s="22"/>
    </row>
    <row r="31" customFormat="false" ht="15" hidden="false" customHeight="false" outlineLevel="0" collapsed="false">
      <c r="A31" s="24"/>
      <c r="B31" s="22"/>
      <c r="C31" s="25" t="str">
        <f aca="false">IF(B31="","",IFERROR(INDEX(Employees!$B$5:$B$200,MATCH(B31,Employees!$A$5:$A$200,0)),"ID not found"))</f>
        <v/>
      </c>
      <c r="D31" s="25" t="str">
        <f aca="false">IF(B31="","",IFERROR(INDEX(Employees!$I$5:$I$200,MATCH(B31,Employees!$A$5:$A$200,0)),"not found"))</f>
        <v/>
      </c>
      <c r="E31" s="22"/>
      <c r="F31" s="34"/>
      <c r="G31" s="35" t="str">
        <f aca="false">IF(E31="","",IF(E31="E-bike",Lists!$E$6,Lists!$E$5))</f>
        <v/>
      </c>
      <c r="H31" s="25" t="str">
        <f aca="false">IF(OR(F31="",G31=""),"",IF(AND(F31&gt;0,F31&lt;=G31),"Yes","No - exceeds cap"))</f>
        <v/>
      </c>
      <c r="I31" s="24"/>
      <c r="J31" s="23" t="str">
        <f aca="false">IF(B31="","",IF(H31="","Incomplete",IF(D31&lt;&gt;"active","Not eligible: not active",IF(H31&lt;&gt;"Yes","Not eligible: cost",IF(I31="","Eligible",IF(EDATE(I31,12*Lists!$E$7)&lt;=A31,"Eligible","Not eligible: prior claim"))))))</f>
        <v/>
      </c>
      <c r="K31" s="22"/>
      <c r="L31" s="22"/>
    </row>
    <row r="32" customFormat="false" ht="15" hidden="false" customHeight="false" outlineLevel="0" collapsed="false">
      <c r="A32" s="24"/>
      <c r="B32" s="22"/>
      <c r="C32" s="25" t="str">
        <f aca="false">IF(B32="","",IFERROR(INDEX(Employees!$B$5:$B$200,MATCH(B32,Employees!$A$5:$A$200,0)),"ID not found"))</f>
        <v/>
      </c>
      <c r="D32" s="25" t="str">
        <f aca="false">IF(B32="","",IFERROR(INDEX(Employees!$I$5:$I$200,MATCH(B32,Employees!$A$5:$A$200,0)),"not found"))</f>
        <v/>
      </c>
      <c r="E32" s="22"/>
      <c r="F32" s="34"/>
      <c r="G32" s="35" t="str">
        <f aca="false">IF(E32="","",IF(E32="E-bike",Lists!$E$6,Lists!$E$5))</f>
        <v/>
      </c>
      <c r="H32" s="25" t="str">
        <f aca="false">IF(OR(F32="",G32=""),"",IF(AND(F32&gt;0,F32&lt;=G32),"Yes","No - exceeds cap"))</f>
        <v/>
      </c>
      <c r="I32" s="24"/>
      <c r="J32" s="23" t="str">
        <f aca="false">IF(B32="","",IF(H32="","Incomplete",IF(D32&lt;&gt;"active","Not eligible: not active",IF(H32&lt;&gt;"Yes","Not eligible: cost",IF(I32="","Eligible",IF(EDATE(I32,12*Lists!$E$7)&lt;=A32,"Eligible","Not eligible: prior claim"))))))</f>
        <v/>
      </c>
      <c r="K32" s="22"/>
      <c r="L32" s="22"/>
    </row>
    <row r="33" customFormat="false" ht="15" hidden="false" customHeight="false" outlineLevel="0" collapsed="false">
      <c r="A33" s="24"/>
      <c r="B33" s="22"/>
      <c r="C33" s="25" t="str">
        <f aca="false">IF(B33="","",IFERROR(INDEX(Employees!$B$5:$B$200,MATCH(B33,Employees!$A$5:$A$200,0)),"ID not found"))</f>
        <v/>
      </c>
      <c r="D33" s="25" t="str">
        <f aca="false">IF(B33="","",IFERROR(INDEX(Employees!$I$5:$I$200,MATCH(B33,Employees!$A$5:$A$200,0)),"not found"))</f>
        <v/>
      </c>
      <c r="E33" s="22"/>
      <c r="F33" s="34"/>
      <c r="G33" s="35" t="str">
        <f aca="false">IF(E33="","",IF(E33="E-bike",Lists!$E$6,Lists!$E$5))</f>
        <v/>
      </c>
      <c r="H33" s="25" t="str">
        <f aca="false">IF(OR(F33="",G33=""),"",IF(AND(F33&gt;0,F33&lt;=G33),"Yes","No - exceeds cap"))</f>
        <v/>
      </c>
      <c r="I33" s="24"/>
      <c r="J33" s="23" t="str">
        <f aca="false">IF(B33="","",IF(H33="","Incomplete",IF(D33&lt;&gt;"active","Not eligible: not active",IF(H33&lt;&gt;"Yes","Not eligible: cost",IF(I33="","Eligible",IF(EDATE(I33,12*Lists!$E$7)&lt;=A33,"Eligible","Not eligible: prior claim"))))))</f>
        <v/>
      </c>
      <c r="K33" s="22"/>
      <c r="L33" s="22"/>
    </row>
    <row r="34" customFormat="false" ht="15" hidden="false" customHeight="false" outlineLevel="0" collapsed="false">
      <c r="A34" s="24"/>
      <c r="B34" s="22"/>
      <c r="C34" s="25" t="str">
        <f aca="false">IF(B34="","",IFERROR(INDEX(Employees!$B$5:$B$200,MATCH(B34,Employees!$A$5:$A$200,0)),"ID not found"))</f>
        <v/>
      </c>
      <c r="D34" s="25" t="str">
        <f aca="false">IF(B34="","",IFERROR(INDEX(Employees!$I$5:$I$200,MATCH(B34,Employees!$A$5:$A$200,0)),"not found"))</f>
        <v/>
      </c>
      <c r="E34" s="22"/>
      <c r="F34" s="34"/>
      <c r="G34" s="35" t="str">
        <f aca="false">IF(E34="","",IF(E34="E-bike",Lists!$E$6,Lists!$E$5))</f>
        <v/>
      </c>
      <c r="H34" s="25" t="str">
        <f aca="false">IF(OR(F34="",G34=""),"",IF(AND(F34&gt;0,F34&lt;=G34),"Yes","No - exceeds cap"))</f>
        <v/>
      </c>
      <c r="I34" s="24"/>
      <c r="J34" s="23" t="str">
        <f aca="false">IF(B34="","",IF(H34="","Incomplete",IF(D34&lt;&gt;"active","Not eligible: not active",IF(H34&lt;&gt;"Yes","Not eligible: cost",IF(I34="","Eligible",IF(EDATE(I34,12*Lists!$E$7)&lt;=A34,"Eligible","Not eligible: prior claim"))))))</f>
        <v/>
      </c>
      <c r="K34" s="22"/>
      <c r="L34" s="22"/>
    </row>
    <row r="35" customFormat="false" ht="15" hidden="false" customHeight="false" outlineLevel="0" collapsed="false">
      <c r="A35" s="24"/>
      <c r="B35" s="22"/>
      <c r="C35" s="25" t="str">
        <f aca="false">IF(B35="","",IFERROR(INDEX(Employees!$B$5:$B$200,MATCH(B35,Employees!$A$5:$A$200,0)),"ID not found"))</f>
        <v/>
      </c>
      <c r="D35" s="25" t="str">
        <f aca="false">IF(B35="","",IFERROR(INDEX(Employees!$I$5:$I$200,MATCH(B35,Employees!$A$5:$A$200,0)),"not found"))</f>
        <v/>
      </c>
      <c r="E35" s="22"/>
      <c r="F35" s="34"/>
      <c r="G35" s="35" t="str">
        <f aca="false">IF(E35="","",IF(E35="E-bike",Lists!$E$6,Lists!$E$5))</f>
        <v/>
      </c>
      <c r="H35" s="25" t="str">
        <f aca="false">IF(OR(F35="",G35=""),"",IF(AND(F35&gt;0,F35&lt;=G35),"Yes","No - exceeds cap"))</f>
        <v/>
      </c>
      <c r="I35" s="24"/>
      <c r="J35" s="23" t="str">
        <f aca="false">IF(B35="","",IF(H35="","Incomplete",IF(D35&lt;&gt;"active","Not eligible: not active",IF(H35&lt;&gt;"Yes","Not eligible: cost",IF(I35="","Eligible",IF(EDATE(I35,12*Lists!$E$7)&lt;=A35,"Eligible","Not eligible: prior claim"))))))</f>
        <v/>
      </c>
      <c r="K35" s="22"/>
      <c r="L35" s="22"/>
    </row>
    <row r="36" customFormat="false" ht="15" hidden="false" customHeight="false" outlineLevel="0" collapsed="false">
      <c r="A36" s="24"/>
      <c r="B36" s="22"/>
      <c r="C36" s="25" t="str">
        <f aca="false">IF(B36="","",IFERROR(INDEX(Employees!$B$5:$B$200,MATCH(B36,Employees!$A$5:$A$200,0)),"ID not found"))</f>
        <v/>
      </c>
      <c r="D36" s="25" t="str">
        <f aca="false">IF(B36="","",IFERROR(INDEX(Employees!$I$5:$I$200,MATCH(B36,Employees!$A$5:$A$200,0)),"not found"))</f>
        <v/>
      </c>
      <c r="E36" s="22"/>
      <c r="F36" s="34"/>
      <c r="G36" s="35" t="str">
        <f aca="false">IF(E36="","",IF(E36="E-bike",Lists!$E$6,Lists!$E$5))</f>
        <v/>
      </c>
      <c r="H36" s="25" t="str">
        <f aca="false">IF(OR(F36="",G36=""),"",IF(AND(F36&gt;0,F36&lt;=G36),"Yes","No - exceeds cap"))</f>
        <v/>
      </c>
      <c r="I36" s="24"/>
      <c r="J36" s="23" t="str">
        <f aca="false">IF(B36="","",IF(H36="","Incomplete",IF(D36&lt;&gt;"active","Not eligible: not active",IF(H36&lt;&gt;"Yes","Not eligible: cost",IF(I36="","Eligible",IF(EDATE(I36,12*Lists!$E$7)&lt;=A36,"Eligible","Not eligible: prior claim"))))))</f>
        <v/>
      </c>
      <c r="K36" s="22"/>
      <c r="L36" s="22"/>
    </row>
    <row r="37" customFormat="false" ht="15" hidden="false" customHeight="false" outlineLevel="0" collapsed="false">
      <c r="A37" s="24"/>
      <c r="B37" s="22"/>
      <c r="C37" s="25" t="str">
        <f aca="false">IF(B37="","",IFERROR(INDEX(Employees!$B$5:$B$200,MATCH(B37,Employees!$A$5:$A$200,0)),"ID not found"))</f>
        <v/>
      </c>
      <c r="D37" s="25" t="str">
        <f aca="false">IF(B37="","",IFERROR(INDEX(Employees!$I$5:$I$200,MATCH(B37,Employees!$A$5:$A$200,0)),"not found"))</f>
        <v/>
      </c>
      <c r="E37" s="22"/>
      <c r="F37" s="34"/>
      <c r="G37" s="35" t="str">
        <f aca="false">IF(E37="","",IF(E37="E-bike",Lists!$E$6,Lists!$E$5))</f>
        <v/>
      </c>
      <c r="H37" s="25" t="str">
        <f aca="false">IF(OR(F37="",G37=""),"",IF(AND(F37&gt;0,F37&lt;=G37),"Yes","No - exceeds cap"))</f>
        <v/>
      </c>
      <c r="I37" s="24"/>
      <c r="J37" s="23" t="str">
        <f aca="false">IF(B37="","",IF(H37="","Incomplete",IF(D37&lt;&gt;"active","Not eligible: not active",IF(H37&lt;&gt;"Yes","Not eligible: cost",IF(I37="","Eligible",IF(EDATE(I37,12*Lists!$E$7)&lt;=A37,"Eligible","Not eligible: prior claim"))))))</f>
        <v/>
      </c>
      <c r="K37" s="22"/>
      <c r="L37" s="22"/>
    </row>
    <row r="38" customFormat="false" ht="15" hidden="false" customHeight="false" outlineLevel="0" collapsed="false">
      <c r="A38" s="24"/>
      <c r="B38" s="22"/>
      <c r="C38" s="25" t="str">
        <f aca="false">IF(B38="","",IFERROR(INDEX(Employees!$B$5:$B$200,MATCH(B38,Employees!$A$5:$A$200,0)),"ID not found"))</f>
        <v/>
      </c>
      <c r="D38" s="25" t="str">
        <f aca="false">IF(B38="","",IFERROR(INDEX(Employees!$I$5:$I$200,MATCH(B38,Employees!$A$5:$A$200,0)),"not found"))</f>
        <v/>
      </c>
      <c r="E38" s="22"/>
      <c r="F38" s="34"/>
      <c r="G38" s="35" t="str">
        <f aca="false">IF(E38="","",IF(E38="E-bike",Lists!$E$6,Lists!$E$5))</f>
        <v/>
      </c>
      <c r="H38" s="25" t="str">
        <f aca="false">IF(OR(F38="",G38=""),"",IF(AND(F38&gt;0,F38&lt;=G38),"Yes","No - exceeds cap"))</f>
        <v/>
      </c>
      <c r="I38" s="24"/>
      <c r="J38" s="23" t="str">
        <f aca="false">IF(B38="","",IF(H38="","Incomplete",IF(D38&lt;&gt;"active","Not eligible: not active",IF(H38&lt;&gt;"Yes","Not eligible: cost",IF(I38="","Eligible",IF(EDATE(I38,12*Lists!$E$7)&lt;=A38,"Eligible","Not eligible: prior claim"))))))</f>
        <v/>
      </c>
      <c r="K38" s="22"/>
      <c r="L38" s="22"/>
    </row>
    <row r="39" customFormat="false" ht="15" hidden="false" customHeight="false" outlineLevel="0" collapsed="false">
      <c r="A39" s="24"/>
      <c r="B39" s="22"/>
      <c r="C39" s="25" t="str">
        <f aca="false">IF(B39="","",IFERROR(INDEX(Employees!$B$5:$B$200,MATCH(B39,Employees!$A$5:$A$200,0)),"ID not found"))</f>
        <v/>
      </c>
      <c r="D39" s="25" t="str">
        <f aca="false">IF(B39="","",IFERROR(INDEX(Employees!$I$5:$I$200,MATCH(B39,Employees!$A$5:$A$200,0)),"not found"))</f>
        <v/>
      </c>
      <c r="E39" s="22"/>
      <c r="F39" s="34"/>
      <c r="G39" s="35" t="str">
        <f aca="false">IF(E39="","",IF(E39="E-bike",Lists!$E$6,Lists!$E$5))</f>
        <v/>
      </c>
      <c r="H39" s="25" t="str">
        <f aca="false">IF(OR(F39="",G39=""),"",IF(AND(F39&gt;0,F39&lt;=G39),"Yes","No - exceeds cap"))</f>
        <v/>
      </c>
      <c r="I39" s="24"/>
      <c r="J39" s="23" t="str">
        <f aca="false">IF(B39="","",IF(H39="","Incomplete",IF(D39&lt;&gt;"active","Not eligible: not active",IF(H39&lt;&gt;"Yes","Not eligible: cost",IF(I39="","Eligible",IF(EDATE(I39,12*Lists!$E$7)&lt;=A39,"Eligible","Not eligible: prior claim"))))))</f>
        <v/>
      </c>
      <c r="K39" s="22"/>
      <c r="L39" s="22"/>
    </row>
    <row r="40" customFormat="false" ht="15" hidden="false" customHeight="false" outlineLevel="0" collapsed="false">
      <c r="A40" s="24"/>
      <c r="B40" s="22"/>
      <c r="C40" s="25" t="str">
        <f aca="false">IF(B40="","",IFERROR(INDEX(Employees!$B$5:$B$200,MATCH(B40,Employees!$A$5:$A$200,0)),"ID not found"))</f>
        <v/>
      </c>
      <c r="D40" s="25" t="str">
        <f aca="false">IF(B40="","",IFERROR(INDEX(Employees!$I$5:$I$200,MATCH(B40,Employees!$A$5:$A$200,0)),"not found"))</f>
        <v/>
      </c>
      <c r="E40" s="22"/>
      <c r="F40" s="34"/>
      <c r="G40" s="35" t="str">
        <f aca="false">IF(E40="","",IF(E40="E-bike",Lists!$E$6,Lists!$E$5))</f>
        <v/>
      </c>
      <c r="H40" s="25" t="str">
        <f aca="false">IF(OR(F40="",G40=""),"",IF(AND(F40&gt;0,F40&lt;=G40),"Yes","No - exceeds cap"))</f>
        <v/>
      </c>
      <c r="I40" s="24"/>
      <c r="J40" s="23" t="str">
        <f aca="false">IF(B40="","",IF(H40="","Incomplete",IF(D40&lt;&gt;"active","Not eligible: not active",IF(H40&lt;&gt;"Yes","Not eligible: cost",IF(I40="","Eligible",IF(EDATE(I40,12*Lists!$E$7)&lt;=A40,"Eligible","Not eligible: prior claim"))))))</f>
        <v/>
      </c>
      <c r="K40" s="22"/>
      <c r="L40" s="22"/>
    </row>
    <row r="41" customFormat="false" ht="15" hidden="false" customHeight="false" outlineLevel="0" collapsed="false">
      <c r="A41" s="24"/>
      <c r="B41" s="22"/>
      <c r="C41" s="25" t="str">
        <f aca="false">IF(B41="","",IFERROR(INDEX(Employees!$B$5:$B$200,MATCH(B41,Employees!$A$5:$A$200,0)),"ID not found"))</f>
        <v/>
      </c>
      <c r="D41" s="25" t="str">
        <f aca="false">IF(B41="","",IFERROR(INDEX(Employees!$I$5:$I$200,MATCH(B41,Employees!$A$5:$A$200,0)),"not found"))</f>
        <v/>
      </c>
      <c r="E41" s="22"/>
      <c r="F41" s="34"/>
      <c r="G41" s="35" t="str">
        <f aca="false">IF(E41="","",IF(E41="E-bike",Lists!$E$6,Lists!$E$5))</f>
        <v/>
      </c>
      <c r="H41" s="25" t="str">
        <f aca="false">IF(OR(F41="",G41=""),"",IF(AND(F41&gt;0,F41&lt;=G41),"Yes","No - exceeds cap"))</f>
        <v/>
      </c>
      <c r="I41" s="24"/>
      <c r="J41" s="23" t="str">
        <f aca="false">IF(B41="","",IF(H41="","Incomplete",IF(D41&lt;&gt;"active","Not eligible: not active",IF(H41&lt;&gt;"Yes","Not eligible: cost",IF(I41="","Eligible",IF(EDATE(I41,12*Lists!$E$7)&lt;=A41,"Eligible","Not eligible: prior claim"))))))</f>
        <v/>
      </c>
      <c r="K41" s="22"/>
      <c r="L41" s="22"/>
    </row>
    <row r="42" customFormat="false" ht="15" hidden="false" customHeight="false" outlineLevel="0" collapsed="false">
      <c r="A42" s="24"/>
      <c r="B42" s="22"/>
      <c r="C42" s="25" t="str">
        <f aca="false">IF(B42="","",IFERROR(INDEX(Employees!$B$5:$B$200,MATCH(B42,Employees!$A$5:$A$200,0)),"ID not found"))</f>
        <v/>
      </c>
      <c r="D42" s="25" t="str">
        <f aca="false">IF(B42="","",IFERROR(INDEX(Employees!$I$5:$I$200,MATCH(B42,Employees!$A$5:$A$200,0)),"not found"))</f>
        <v/>
      </c>
      <c r="E42" s="22"/>
      <c r="F42" s="34"/>
      <c r="G42" s="35" t="str">
        <f aca="false">IF(E42="","",IF(E42="E-bike",Lists!$E$6,Lists!$E$5))</f>
        <v/>
      </c>
      <c r="H42" s="25" t="str">
        <f aca="false">IF(OR(F42="",G42=""),"",IF(AND(F42&gt;0,F42&lt;=G42),"Yes","No - exceeds cap"))</f>
        <v/>
      </c>
      <c r="I42" s="24"/>
      <c r="J42" s="23" t="str">
        <f aca="false">IF(B42="","",IF(H42="","Incomplete",IF(D42&lt;&gt;"active","Not eligible: not active",IF(H42&lt;&gt;"Yes","Not eligible: cost",IF(I42="","Eligible",IF(EDATE(I42,12*Lists!$E$7)&lt;=A42,"Eligible","Not eligible: prior claim"))))))</f>
        <v/>
      </c>
      <c r="K42" s="22"/>
      <c r="L42" s="22"/>
    </row>
    <row r="43" customFormat="false" ht="15" hidden="false" customHeight="false" outlineLevel="0" collapsed="false">
      <c r="A43" s="24"/>
      <c r="B43" s="22"/>
      <c r="C43" s="25" t="str">
        <f aca="false">IF(B43="","",IFERROR(INDEX(Employees!$B$5:$B$200,MATCH(B43,Employees!$A$5:$A$200,0)),"ID not found"))</f>
        <v/>
      </c>
      <c r="D43" s="25" t="str">
        <f aca="false">IF(B43="","",IFERROR(INDEX(Employees!$I$5:$I$200,MATCH(B43,Employees!$A$5:$A$200,0)),"not found"))</f>
        <v/>
      </c>
      <c r="E43" s="22"/>
      <c r="F43" s="34"/>
      <c r="G43" s="35" t="str">
        <f aca="false">IF(E43="","",IF(E43="E-bike",Lists!$E$6,Lists!$E$5))</f>
        <v/>
      </c>
      <c r="H43" s="25" t="str">
        <f aca="false">IF(OR(F43="",G43=""),"",IF(AND(F43&gt;0,F43&lt;=G43),"Yes","No - exceeds cap"))</f>
        <v/>
      </c>
      <c r="I43" s="24"/>
      <c r="J43" s="23" t="str">
        <f aca="false">IF(B43="","",IF(H43="","Incomplete",IF(D43&lt;&gt;"active","Not eligible: not active",IF(H43&lt;&gt;"Yes","Not eligible: cost",IF(I43="","Eligible",IF(EDATE(I43,12*Lists!$E$7)&lt;=A43,"Eligible","Not eligible: prior claim"))))))</f>
        <v/>
      </c>
      <c r="K43" s="22"/>
      <c r="L43" s="22"/>
    </row>
    <row r="44" customFormat="false" ht="15" hidden="false" customHeight="false" outlineLevel="0" collapsed="false">
      <c r="A44" s="24"/>
      <c r="B44" s="22"/>
      <c r="C44" s="25" t="str">
        <f aca="false">IF(B44="","",IFERROR(INDEX(Employees!$B$5:$B$200,MATCH(B44,Employees!$A$5:$A$200,0)),"ID not found"))</f>
        <v/>
      </c>
      <c r="D44" s="25" t="str">
        <f aca="false">IF(B44="","",IFERROR(INDEX(Employees!$I$5:$I$200,MATCH(B44,Employees!$A$5:$A$200,0)),"not found"))</f>
        <v/>
      </c>
      <c r="E44" s="22"/>
      <c r="F44" s="34"/>
      <c r="G44" s="35" t="str">
        <f aca="false">IF(E44="","",IF(E44="E-bike",Lists!$E$6,Lists!$E$5))</f>
        <v/>
      </c>
      <c r="H44" s="25" t="str">
        <f aca="false">IF(OR(F44="",G44=""),"",IF(AND(F44&gt;0,F44&lt;=G44),"Yes","No - exceeds cap"))</f>
        <v/>
      </c>
      <c r="I44" s="24"/>
      <c r="J44" s="23" t="str">
        <f aca="false">IF(B44="","",IF(H44="","Incomplete",IF(D44&lt;&gt;"active","Not eligible: not active",IF(H44&lt;&gt;"Yes","Not eligible: cost",IF(I44="","Eligible",IF(EDATE(I44,12*Lists!$E$7)&lt;=A44,"Eligible","Not eligible: prior claim"))))))</f>
        <v/>
      </c>
      <c r="K44" s="22"/>
      <c r="L44" s="22"/>
    </row>
    <row r="45" customFormat="false" ht="15" hidden="false" customHeight="false" outlineLevel="0" collapsed="false">
      <c r="A45" s="24"/>
      <c r="B45" s="22"/>
      <c r="C45" s="25" t="str">
        <f aca="false">IF(B45="","",IFERROR(INDEX(Employees!$B$5:$B$200,MATCH(B45,Employees!$A$5:$A$200,0)),"ID not found"))</f>
        <v/>
      </c>
      <c r="D45" s="25" t="str">
        <f aca="false">IF(B45="","",IFERROR(INDEX(Employees!$I$5:$I$200,MATCH(B45,Employees!$A$5:$A$200,0)),"not found"))</f>
        <v/>
      </c>
      <c r="E45" s="22"/>
      <c r="F45" s="34"/>
      <c r="G45" s="35" t="str">
        <f aca="false">IF(E45="","",IF(E45="E-bike",Lists!$E$6,Lists!$E$5))</f>
        <v/>
      </c>
      <c r="H45" s="25" t="str">
        <f aca="false">IF(OR(F45="",G45=""),"",IF(AND(F45&gt;0,F45&lt;=G45),"Yes","No - exceeds cap"))</f>
        <v/>
      </c>
      <c r="I45" s="24"/>
      <c r="J45" s="23" t="str">
        <f aca="false">IF(B45="","",IF(H45="","Incomplete",IF(D45&lt;&gt;"active","Not eligible: not active",IF(H45&lt;&gt;"Yes","Not eligible: cost",IF(I45="","Eligible",IF(EDATE(I45,12*Lists!$E$7)&lt;=A45,"Eligible","Not eligible: prior claim"))))))</f>
        <v/>
      </c>
      <c r="K45" s="22"/>
      <c r="L45" s="22"/>
    </row>
    <row r="46" customFormat="false" ht="15" hidden="false" customHeight="false" outlineLevel="0" collapsed="false">
      <c r="A46" s="24"/>
      <c r="B46" s="22"/>
      <c r="C46" s="25" t="str">
        <f aca="false">IF(B46="","",IFERROR(INDEX(Employees!$B$5:$B$200,MATCH(B46,Employees!$A$5:$A$200,0)),"ID not found"))</f>
        <v/>
      </c>
      <c r="D46" s="25" t="str">
        <f aca="false">IF(B46="","",IFERROR(INDEX(Employees!$I$5:$I$200,MATCH(B46,Employees!$A$5:$A$200,0)),"not found"))</f>
        <v/>
      </c>
      <c r="E46" s="22"/>
      <c r="F46" s="34"/>
      <c r="G46" s="35" t="str">
        <f aca="false">IF(E46="","",IF(E46="E-bike",Lists!$E$6,Lists!$E$5))</f>
        <v/>
      </c>
      <c r="H46" s="25" t="str">
        <f aca="false">IF(OR(F46="",G46=""),"",IF(AND(F46&gt;0,F46&lt;=G46),"Yes","No - exceeds cap"))</f>
        <v/>
      </c>
      <c r="I46" s="24"/>
      <c r="J46" s="23" t="str">
        <f aca="false">IF(B46="","",IF(H46="","Incomplete",IF(D46&lt;&gt;"active","Not eligible: not active",IF(H46&lt;&gt;"Yes","Not eligible: cost",IF(I46="","Eligible",IF(EDATE(I46,12*Lists!$E$7)&lt;=A46,"Eligible","Not eligible: prior claim"))))))</f>
        <v/>
      </c>
      <c r="K46" s="22"/>
      <c r="L46" s="22"/>
    </row>
    <row r="47" customFormat="false" ht="15" hidden="false" customHeight="false" outlineLevel="0" collapsed="false">
      <c r="A47" s="24"/>
      <c r="B47" s="22"/>
      <c r="C47" s="25" t="str">
        <f aca="false">IF(B47="","",IFERROR(INDEX(Employees!$B$5:$B$200,MATCH(B47,Employees!$A$5:$A$200,0)),"ID not found"))</f>
        <v/>
      </c>
      <c r="D47" s="25" t="str">
        <f aca="false">IF(B47="","",IFERROR(INDEX(Employees!$I$5:$I$200,MATCH(B47,Employees!$A$5:$A$200,0)),"not found"))</f>
        <v/>
      </c>
      <c r="E47" s="22"/>
      <c r="F47" s="34"/>
      <c r="G47" s="35" t="str">
        <f aca="false">IF(E47="","",IF(E47="E-bike",Lists!$E$6,Lists!$E$5))</f>
        <v/>
      </c>
      <c r="H47" s="25" t="str">
        <f aca="false">IF(OR(F47="",G47=""),"",IF(AND(F47&gt;0,F47&lt;=G47),"Yes","No - exceeds cap"))</f>
        <v/>
      </c>
      <c r="I47" s="24"/>
      <c r="J47" s="23" t="str">
        <f aca="false">IF(B47="","",IF(H47="","Incomplete",IF(D47&lt;&gt;"active","Not eligible: not active",IF(H47&lt;&gt;"Yes","Not eligible: cost",IF(I47="","Eligible",IF(EDATE(I47,12*Lists!$E$7)&lt;=A47,"Eligible","Not eligible: prior claim"))))))</f>
        <v/>
      </c>
      <c r="K47" s="22"/>
      <c r="L47" s="22"/>
    </row>
    <row r="48" customFormat="false" ht="15" hidden="false" customHeight="false" outlineLevel="0" collapsed="false">
      <c r="A48" s="24"/>
      <c r="B48" s="22"/>
      <c r="C48" s="25" t="str">
        <f aca="false">IF(B48="","",IFERROR(INDEX(Employees!$B$5:$B$200,MATCH(B48,Employees!$A$5:$A$200,0)),"ID not found"))</f>
        <v/>
      </c>
      <c r="D48" s="25" t="str">
        <f aca="false">IF(B48="","",IFERROR(INDEX(Employees!$I$5:$I$200,MATCH(B48,Employees!$A$5:$A$200,0)),"not found"))</f>
        <v/>
      </c>
      <c r="E48" s="22"/>
      <c r="F48" s="34"/>
      <c r="G48" s="35" t="str">
        <f aca="false">IF(E48="","",IF(E48="E-bike",Lists!$E$6,Lists!$E$5))</f>
        <v/>
      </c>
      <c r="H48" s="25" t="str">
        <f aca="false">IF(OR(F48="",G48=""),"",IF(AND(F48&gt;0,F48&lt;=G48),"Yes","No - exceeds cap"))</f>
        <v/>
      </c>
      <c r="I48" s="24"/>
      <c r="J48" s="23" t="str">
        <f aca="false">IF(B48="","",IF(H48="","Incomplete",IF(D48&lt;&gt;"active","Not eligible: not active",IF(H48&lt;&gt;"Yes","Not eligible: cost",IF(I48="","Eligible",IF(EDATE(I48,12*Lists!$E$7)&lt;=A48,"Eligible","Not eligible: prior claim"))))))</f>
        <v/>
      </c>
      <c r="K48" s="22"/>
      <c r="L48" s="22"/>
    </row>
    <row r="49" customFormat="false" ht="15" hidden="false" customHeight="false" outlineLevel="0" collapsed="false">
      <c r="A49" s="24"/>
      <c r="B49" s="22"/>
      <c r="C49" s="25" t="str">
        <f aca="false">IF(B49="","",IFERROR(INDEX(Employees!$B$5:$B$200,MATCH(B49,Employees!$A$5:$A$200,0)),"ID not found"))</f>
        <v/>
      </c>
      <c r="D49" s="25" t="str">
        <f aca="false">IF(B49="","",IFERROR(INDEX(Employees!$I$5:$I$200,MATCH(B49,Employees!$A$5:$A$200,0)),"not found"))</f>
        <v/>
      </c>
      <c r="E49" s="22"/>
      <c r="F49" s="34"/>
      <c r="G49" s="35" t="str">
        <f aca="false">IF(E49="","",IF(E49="E-bike",Lists!$E$6,Lists!$E$5))</f>
        <v/>
      </c>
      <c r="H49" s="25" t="str">
        <f aca="false">IF(OR(F49="",G49=""),"",IF(AND(F49&gt;0,F49&lt;=G49),"Yes","No - exceeds cap"))</f>
        <v/>
      </c>
      <c r="I49" s="24"/>
      <c r="J49" s="23" t="str">
        <f aca="false">IF(B49="","",IF(H49="","Incomplete",IF(D49&lt;&gt;"active","Not eligible: not active",IF(H49&lt;&gt;"Yes","Not eligible: cost",IF(I49="","Eligible",IF(EDATE(I49,12*Lists!$E$7)&lt;=A49,"Eligible","Not eligible: prior claim"))))))</f>
        <v/>
      </c>
      <c r="K49" s="22"/>
      <c r="L49" s="22"/>
    </row>
    <row r="50" customFormat="false" ht="15" hidden="false" customHeight="false" outlineLevel="0" collapsed="false">
      <c r="A50" s="24"/>
      <c r="B50" s="22"/>
      <c r="C50" s="25" t="str">
        <f aca="false">IF(B50="","",IFERROR(INDEX(Employees!$B$5:$B$200,MATCH(B50,Employees!$A$5:$A$200,0)),"ID not found"))</f>
        <v/>
      </c>
      <c r="D50" s="25" t="str">
        <f aca="false">IF(B50="","",IFERROR(INDEX(Employees!$I$5:$I$200,MATCH(B50,Employees!$A$5:$A$200,0)),"not found"))</f>
        <v/>
      </c>
      <c r="E50" s="22"/>
      <c r="F50" s="34"/>
      <c r="G50" s="35" t="str">
        <f aca="false">IF(E50="","",IF(E50="E-bike",Lists!$E$6,Lists!$E$5))</f>
        <v/>
      </c>
      <c r="H50" s="25" t="str">
        <f aca="false">IF(OR(F50="",G50=""),"",IF(AND(F50&gt;0,F50&lt;=G50),"Yes","No - exceeds cap"))</f>
        <v/>
      </c>
      <c r="I50" s="24"/>
      <c r="J50" s="23" t="str">
        <f aca="false">IF(B50="","",IF(H50="","Incomplete",IF(D50&lt;&gt;"active","Not eligible: not active",IF(H50&lt;&gt;"Yes","Not eligible: cost",IF(I50="","Eligible",IF(EDATE(I50,12*Lists!$E$7)&lt;=A50,"Eligible","Not eligible: prior claim"))))))</f>
        <v/>
      </c>
      <c r="K50" s="22"/>
      <c r="L50" s="22"/>
    </row>
    <row r="51" customFormat="false" ht="15" hidden="false" customHeight="false" outlineLevel="0" collapsed="false">
      <c r="A51" s="24"/>
      <c r="B51" s="22"/>
      <c r="C51" s="25" t="str">
        <f aca="false">IF(B51="","",IFERROR(INDEX(Employees!$B$5:$B$200,MATCH(B51,Employees!$A$5:$A$200,0)),"ID not found"))</f>
        <v/>
      </c>
      <c r="D51" s="25" t="str">
        <f aca="false">IF(B51="","",IFERROR(INDEX(Employees!$I$5:$I$200,MATCH(B51,Employees!$A$5:$A$200,0)),"not found"))</f>
        <v/>
      </c>
      <c r="E51" s="22"/>
      <c r="F51" s="34"/>
      <c r="G51" s="35" t="str">
        <f aca="false">IF(E51="","",IF(E51="E-bike",Lists!$E$6,Lists!$E$5))</f>
        <v/>
      </c>
      <c r="H51" s="25" t="str">
        <f aca="false">IF(OR(F51="",G51=""),"",IF(AND(F51&gt;0,F51&lt;=G51),"Yes","No - exceeds cap"))</f>
        <v/>
      </c>
      <c r="I51" s="24"/>
      <c r="J51" s="23" t="str">
        <f aca="false">IF(B51="","",IF(H51="","Incomplete",IF(D51&lt;&gt;"active","Not eligible: not active",IF(H51&lt;&gt;"Yes","Not eligible: cost",IF(I51="","Eligible",IF(EDATE(I51,12*Lists!$E$7)&lt;=A51,"Eligible","Not eligible: prior claim"))))))</f>
        <v/>
      </c>
      <c r="K51" s="22"/>
      <c r="L51" s="22"/>
    </row>
    <row r="52" customFormat="false" ht="15" hidden="false" customHeight="false" outlineLevel="0" collapsed="false">
      <c r="A52" s="24"/>
      <c r="B52" s="22"/>
      <c r="C52" s="25" t="str">
        <f aca="false">IF(B52="","",IFERROR(INDEX(Employees!$B$5:$B$200,MATCH(B52,Employees!$A$5:$A$200,0)),"ID not found"))</f>
        <v/>
      </c>
      <c r="D52" s="25" t="str">
        <f aca="false">IF(B52="","",IFERROR(INDEX(Employees!$I$5:$I$200,MATCH(B52,Employees!$A$5:$A$200,0)),"not found"))</f>
        <v/>
      </c>
      <c r="E52" s="22"/>
      <c r="F52" s="34"/>
      <c r="G52" s="35" t="str">
        <f aca="false">IF(E52="","",IF(E52="E-bike",Lists!$E$6,Lists!$E$5))</f>
        <v/>
      </c>
      <c r="H52" s="25" t="str">
        <f aca="false">IF(OR(F52="",G52=""),"",IF(AND(F52&gt;0,F52&lt;=G52),"Yes","No - exceeds cap"))</f>
        <v/>
      </c>
      <c r="I52" s="24"/>
      <c r="J52" s="23" t="str">
        <f aca="false">IF(B52="","",IF(H52="","Incomplete",IF(D52&lt;&gt;"active","Not eligible: not active",IF(H52&lt;&gt;"Yes","Not eligible: cost",IF(I52="","Eligible",IF(EDATE(I52,12*Lists!$E$7)&lt;=A52,"Eligible","Not eligible: prior claim"))))))</f>
        <v/>
      </c>
      <c r="K52" s="22"/>
      <c r="L52" s="22"/>
    </row>
    <row r="53" customFormat="false" ht="15" hidden="false" customHeight="false" outlineLevel="0" collapsed="false">
      <c r="A53" s="24"/>
      <c r="B53" s="22"/>
      <c r="C53" s="25" t="str">
        <f aca="false">IF(B53="","",IFERROR(INDEX(Employees!$B$5:$B$200,MATCH(B53,Employees!$A$5:$A$200,0)),"ID not found"))</f>
        <v/>
      </c>
      <c r="D53" s="25" t="str">
        <f aca="false">IF(B53="","",IFERROR(INDEX(Employees!$I$5:$I$200,MATCH(B53,Employees!$A$5:$A$200,0)),"not found"))</f>
        <v/>
      </c>
      <c r="E53" s="22"/>
      <c r="F53" s="34"/>
      <c r="G53" s="35" t="str">
        <f aca="false">IF(E53="","",IF(E53="E-bike",Lists!$E$6,Lists!$E$5))</f>
        <v/>
      </c>
      <c r="H53" s="25" t="str">
        <f aca="false">IF(OR(F53="",G53=""),"",IF(AND(F53&gt;0,F53&lt;=G53),"Yes","No - exceeds cap"))</f>
        <v/>
      </c>
      <c r="I53" s="24"/>
      <c r="J53" s="23" t="str">
        <f aca="false">IF(B53="","",IF(H53="","Incomplete",IF(D53&lt;&gt;"active","Not eligible: not active",IF(H53&lt;&gt;"Yes","Not eligible: cost",IF(I53="","Eligible",IF(EDATE(I53,12*Lists!$E$7)&lt;=A53,"Eligible","Not eligible: prior claim"))))))</f>
        <v/>
      </c>
      <c r="K53" s="22"/>
      <c r="L53" s="22"/>
    </row>
    <row r="54" customFormat="false" ht="15" hidden="false" customHeight="false" outlineLevel="0" collapsed="false">
      <c r="A54" s="24"/>
      <c r="B54" s="22"/>
      <c r="C54" s="25" t="str">
        <f aca="false">IF(B54="","",IFERROR(INDEX(Employees!$B$5:$B$200,MATCH(B54,Employees!$A$5:$A$200,0)),"ID not found"))</f>
        <v/>
      </c>
      <c r="D54" s="25" t="str">
        <f aca="false">IF(B54="","",IFERROR(INDEX(Employees!$I$5:$I$200,MATCH(B54,Employees!$A$5:$A$200,0)),"not found"))</f>
        <v/>
      </c>
      <c r="E54" s="22"/>
      <c r="F54" s="34"/>
      <c r="G54" s="35" t="str">
        <f aca="false">IF(E54="","",IF(E54="E-bike",Lists!$E$6,Lists!$E$5))</f>
        <v/>
      </c>
      <c r="H54" s="25" t="str">
        <f aca="false">IF(OR(F54="",G54=""),"",IF(AND(F54&gt;0,F54&lt;=G54),"Yes","No - exceeds cap"))</f>
        <v/>
      </c>
      <c r="I54" s="24"/>
      <c r="J54" s="23" t="str">
        <f aca="false">IF(B54="","",IF(H54="","Incomplete",IF(D54&lt;&gt;"active","Not eligible: not active",IF(H54&lt;&gt;"Yes","Not eligible: cost",IF(I54="","Eligible",IF(EDATE(I54,12*Lists!$E$7)&lt;=A54,"Eligible","Not eligible: prior claim"))))))</f>
        <v/>
      </c>
      <c r="K54" s="22"/>
      <c r="L54" s="22"/>
    </row>
    <row r="55" customFormat="false" ht="15" hidden="false" customHeight="false" outlineLevel="0" collapsed="false">
      <c r="A55" s="24"/>
      <c r="B55" s="22"/>
      <c r="C55" s="25" t="str">
        <f aca="false">IF(B55="","",IFERROR(INDEX(Employees!$B$5:$B$200,MATCH(B55,Employees!$A$5:$A$200,0)),"ID not found"))</f>
        <v/>
      </c>
      <c r="D55" s="25" t="str">
        <f aca="false">IF(B55="","",IFERROR(INDEX(Employees!$I$5:$I$200,MATCH(B55,Employees!$A$5:$A$200,0)),"not found"))</f>
        <v/>
      </c>
      <c r="E55" s="22"/>
      <c r="F55" s="34"/>
      <c r="G55" s="35" t="str">
        <f aca="false">IF(E55="","",IF(E55="E-bike",Lists!$E$6,Lists!$E$5))</f>
        <v/>
      </c>
      <c r="H55" s="25" t="str">
        <f aca="false">IF(OR(F55="",G55=""),"",IF(AND(F55&gt;0,F55&lt;=G55),"Yes","No - exceeds cap"))</f>
        <v/>
      </c>
      <c r="I55" s="24"/>
      <c r="J55" s="23" t="str">
        <f aca="false">IF(B55="","",IF(H55="","Incomplete",IF(D55&lt;&gt;"active","Not eligible: not active",IF(H55&lt;&gt;"Yes","Not eligible: cost",IF(I55="","Eligible",IF(EDATE(I55,12*Lists!$E$7)&lt;=A55,"Eligible","Not eligible: prior claim"))))))</f>
        <v/>
      </c>
      <c r="K55" s="22"/>
      <c r="L55" s="22"/>
    </row>
    <row r="56" customFormat="false" ht="15" hidden="false" customHeight="false" outlineLevel="0" collapsed="false">
      <c r="A56" s="24"/>
      <c r="B56" s="22"/>
      <c r="C56" s="25" t="str">
        <f aca="false">IF(B56="","",IFERROR(INDEX(Employees!$B$5:$B$200,MATCH(B56,Employees!$A$5:$A$200,0)),"ID not found"))</f>
        <v/>
      </c>
      <c r="D56" s="25" t="str">
        <f aca="false">IF(B56="","",IFERROR(INDEX(Employees!$I$5:$I$200,MATCH(B56,Employees!$A$5:$A$200,0)),"not found"))</f>
        <v/>
      </c>
      <c r="E56" s="22"/>
      <c r="F56" s="34"/>
      <c r="G56" s="35" t="str">
        <f aca="false">IF(E56="","",IF(E56="E-bike",Lists!$E$6,Lists!$E$5))</f>
        <v/>
      </c>
      <c r="H56" s="25" t="str">
        <f aca="false">IF(OR(F56="",G56=""),"",IF(AND(F56&gt;0,F56&lt;=G56),"Yes","No - exceeds cap"))</f>
        <v/>
      </c>
      <c r="I56" s="24"/>
      <c r="J56" s="23" t="str">
        <f aca="false">IF(B56="","",IF(H56="","Incomplete",IF(D56&lt;&gt;"active","Not eligible: not active",IF(H56&lt;&gt;"Yes","Not eligible: cost",IF(I56="","Eligible",IF(EDATE(I56,12*Lists!$E$7)&lt;=A56,"Eligible","Not eligible: prior claim"))))))</f>
        <v/>
      </c>
      <c r="K56" s="22"/>
      <c r="L56" s="22"/>
    </row>
    <row r="57" customFormat="false" ht="15" hidden="false" customHeight="false" outlineLevel="0" collapsed="false">
      <c r="A57" s="24"/>
      <c r="B57" s="22"/>
      <c r="C57" s="25" t="str">
        <f aca="false">IF(B57="","",IFERROR(INDEX(Employees!$B$5:$B$200,MATCH(B57,Employees!$A$5:$A$200,0)),"ID not found"))</f>
        <v/>
      </c>
      <c r="D57" s="25" t="str">
        <f aca="false">IF(B57="","",IFERROR(INDEX(Employees!$I$5:$I$200,MATCH(B57,Employees!$A$5:$A$200,0)),"not found"))</f>
        <v/>
      </c>
      <c r="E57" s="22"/>
      <c r="F57" s="34"/>
      <c r="G57" s="35" t="str">
        <f aca="false">IF(E57="","",IF(E57="E-bike",Lists!$E$6,Lists!$E$5))</f>
        <v/>
      </c>
      <c r="H57" s="25" t="str">
        <f aca="false">IF(OR(F57="",G57=""),"",IF(AND(F57&gt;0,F57&lt;=G57),"Yes","No - exceeds cap"))</f>
        <v/>
      </c>
      <c r="I57" s="24"/>
      <c r="J57" s="23" t="str">
        <f aca="false">IF(B57="","",IF(H57="","Incomplete",IF(D57&lt;&gt;"active","Not eligible: not active",IF(H57&lt;&gt;"Yes","Not eligible: cost",IF(I57="","Eligible",IF(EDATE(I57,12*Lists!$E$7)&lt;=A57,"Eligible","Not eligible: prior claim"))))))</f>
        <v/>
      </c>
      <c r="K57" s="22"/>
      <c r="L57" s="22"/>
    </row>
    <row r="58" customFormat="false" ht="15" hidden="false" customHeight="false" outlineLevel="0" collapsed="false">
      <c r="A58" s="24"/>
      <c r="B58" s="22"/>
      <c r="C58" s="25" t="str">
        <f aca="false">IF(B58="","",IFERROR(INDEX(Employees!$B$5:$B$200,MATCH(B58,Employees!$A$5:$A$200,0)),"ID not found"))</f>
        <v/>
      </c>
      <c r="D58" s="25" t="str">
        <f aca="false">IF(B58="","",IFERROR(INDEX(Employees!$I$5:$I$200,MATCH(B58,Employees!$A$5:$A$200,0)),"not found"))</f>
        <v/>
      </c>
      <c r="E58" s="22"/>
      <c r="F58" s="34"/>
      <c r="G58" s="35" t="str">
        <f aca="false">IF(E58="","",IF(E58="E-bike",Lists!$E$6,Lists!$E$5))</f>
        <v/>
      </c>
      <c r="H58" s="25" t="str">
        <f aca="false">IF(OR(F58="",G58=""),"",IF(AND(F58&gt;0,F58&lt;=G58),"Yes","No - exceeds cap"))</f>
        <v/>
      </c>
      <c r="I58" s="24"/>
      <c r="J58" s="23" t="str">
        <f aca="false">IF(B58="","",IF(H58="","Incomplete",IF(D58&lt;&gt;"active","Not eligible: not active",IF(H58&lt;&gt;"Yes","Not eligible: cost",IF(I58="","Eligible",IF(EDATE(I58,12*Lists!$E$7)&lt;=A58,"Eligible","Not eligible: prior claim"))))))</f>
        <v/>
      </c>
      <c r="K58" s="22"/>
      <c r="L58" s="22"/>
    </row>
    <row r="59" customFormat="false" ht="15" hidden="false" customHeight="false" outlineLevel="0" collapsed="false">
      <c r="A59" s="24"/>
      <c r="B59" s="22"/>
      <c r="C59" s="25" t="str">
        <f aca="false">IF(B59="","",IFERROR(INDEX(Employees!$B$5:$B$200,MATCH(B59,Employees!$A$5:$A$200,0)),"ID not found"))</f>
        <v/>
      </c>
      <c r="D59" s="25" t="str">
        <f aca="false">IF(B59="","",IFERROR(INDEX(Employees!$I$5:$I$200,MATCH(B59,Employees!$A$5:$A$200,0)),"not found"))</f>
        <v/>
      </c>
      <c r="E59" s="22"/>
      <c r="F59" s="34"/>
      <c r="G59" s="35" t="str">
        <f aca="false">IF(E59="","",IF(E59="E-bike",Lists!$E$6,Lists!$E$5))</f>
        <v/>
      </c>
      <c r="H59" s="25" t="str">
        <f aca="false">IF(OR(F59="",G59=""),"",IF(AND(F59&gt;0,F59&lt;=G59),"Yes","No - exceeds cap"))</f>
        <v/>
      </c>
      <c r="I59" s="24"/>
      <c r="J59" s="23" t="str">
        <f aca="false">IF(B59="","",IF(H59="","Incomplete",IF(D59&lt;&gt;"active","Not eligible: not active",IF(H59&lt;&gt;"Yes","Not eligible: cost",IF(I59="","Eligible",IF(EDATE(I59,12*Lists!$E$7)&lt;=A59,"Eligible","Not eligible: prior claim"))))))</f>
        <v/>
      </c>
      <c r="K59" s="22"/>
      <c r="L59" s="22"/>
    </row>
    <row r="60" customFormat="false" ht="15" hidden="false" customHeight="false" outlineLevel="0" collapsed="false">
      <c r="A60" s="24"/>
      <c r="B60" s="22"/>
      <c r="C60" s="25" t="str">
        <f aca="false">IF(B60="","",IFERROR(INDEX(Employees!$B$5:$B$200,MATCH(B60,Employees!$A$5:$A$200,0)),"ID not found"))</f>
        <v/>
      </c>
      <c r="D60" s="25" t="str">
        <f aca="false">IF(B60="","",IFERROR(INDEX(Employees!$I$5:$I$200,MATCH(B60,Employees!$A$5:$A$200,0)),"not found"))</f>
        <v/>
      </c>
      <c r="E60" s="22"/>
      <c r="F60" s="34"/>
      <c r="G60" s="35" t="str">
        <f aca="false">IF(E60="","",IF(E60="E-bike",Lists!$E$6,Lists!$E$5))</f>
        <v/>
      </c>
      <c r="H60" s="25" t="str">
        <f aca="false">IF(OR(F60="",G60=""),"",IF(AND(F60&gt;0,F60&lt;=G60),"Yes","No - exceeds cap"))</f>
        <v/>
      </c>
      <c r="I60" s="24"/>
      <c r="J60" s="23" t="str">
        <f aca="false">IF(B60="","",IF(H60="","Incomplete",IF(D60&lt;&gt;"active","Not eligible: not active",IF(H60&lt;&gt;"Yes","Not eligible: cost",IF(I60="","Eligible",IF(EDATE(I60,12*Lists!$E$7)&lt;=A60,"Eligible","Not eligible: prior claim"))))))</f>
        <v/>
      </c>
      <c r="K60" s="22"/>
      <c r="L60" s="22"/>
    </row>
    <row r="61" customFormat="false" ht="15" hidden="false" customHeight="false" outlineLevel="0" collapsed="false">
      <c r="A61" s="24"/>
      <c r="B61" s="22"/>
      <c r="C61" s="25" t="str">
        <f aca="false">IF(B61="","",IFERROR(INDEX(Employees!$B$5:$B$200,MATCH(B61,Employees!$A$5:$A$200,0)),"ID not found"))</f>
        <v/>
      </c>
      <c r="D61" s="25" t="str">
        <f aca="false">IF(B61="","",IFERROR(INDEX(Employees!$I$5:$I$200,MATCH(B61,Employees!$A$5:$A$200,0)),"not found"))</f>
        <v/>
      </c>
      <c r="E61" s="22"/>
      <c r="F61" s="34"/>
      <c r="G61" s="35" t="str">
        <f aca="false">IF(E61="","",IF(E61="E-bike",Lists!$E$6,Lists!$E$5))</f>
        <v/>
      </c>
      <c r="H61" s="25" t="str">
        <f aca="false">IF(OR(F61="",G61=""),"",IF(AND(F61&gt;0,F61&lt;=G61),"Yes","No - exceeds cap"))</f>
        <v/>
      </c>
      <c r="I61" s="24"/>
      <c r="J61" s="23" t="str">
        <f aca="false">IF(B61="","",IF(H61="","Incomplete",IF(D61&lt;&gt;"active","Not eligible: not active",IF(H61&lt;&gt;"Yes","Not eligible: cost",IF(I61="","Eligible",IF(EDATE(I61,12*Lists!$E$7)&lt;=A61,"Eligible","Not eligible: prior claim"))))))</f>
        <v/>
      </c>
      <c r="K61" s="22"/>
      <c r="L61" s="22"/>
    </row>
    <row r="62" customFormat="false" ht="15" hidden="false" customHeight="false" outlineLevel="0" collapsed="false">
      <c r="A62" s="24"/>
      <c r="B62" s="22"/>
      <c r="C62" s="25" t="str">
        <f aca="false">IF(B62="","",IFERROR(INDEX(Employees!$B$5:$B$200,MATCH(B62,Employees!$A$5:$A$200,0)),"ID not found"))</f>
        <v/>
      </c>
      <c r="D62" s="25" t="str">
        <f aca="false">IF(B62="","",IFERROR(INDEX(Employees!$I$5:$I$200,MATCH(B62,Employees!$A$5:$A$200,0)),"not found"))</f>
        <v/>
      </c>
      <c r="E62" s="22"/>
      <c r="F62" s="34"/>
      <c r="G62" s="35" t="str">
        <f aca="false">IF(E62="","",IF(E62="E-bike",Lists!$E$6,Lists!$E$5))</f>
        <v/>
      </c>
      <c r="H62" s="25" t="str">
        <f aca="false">IF(OR(F62="",G62=""),"",IF(AND(F62&gt;0,F62&lt;=G62),"Yes","No - exceeds cap"))</f>
        <v/>
      </c>
      <c r="I62" s="24"/>
      <c r="J62" s="23" t="str">
        <f aca="false">IF(B62="","",IF(H62="","Incomplete",IF(D62&lt;&gt;"active","Not eligible: not active",IF(H62&lt;&gt;"Yes","Not eligible: cost",IF(I62="","Eligible",IF(EDATE(I62,12*Lists!$E$7)&lt;=A62,"Eligible","Not eligible: prior claim"))))))</f>
        <v/>
      </c>
      <c r="K62" s="22"/>
      <c r="L62" s="22"/>
    </row>
    <row r="63" customFormat="false" ht="15" hidden="false" customHeight="false" outlineLevel="0" collapsed="false">
      <c r="A63" s="24"/>
      <c r="B63" s="22"/>
      <c r="C63" s="25" t="str">
        <f aca="false">IF(B63="","",IFERROR(INDEX(Employees!$B$5:$B$200,MATCH(B63,Employees!$A$5:$A$200,0)),"ID not found"))</f>
        <v/>
      </c>
      <c r="D63" s="25" t="str">
        <f aca="false">IF(B63="","",IFERROR(INDEX(Employees!$I$5:$I$200,MATCH(B63,Employees!$A$5:$A$200,0)),"not found"))</f>
        <v/>
      </c>
      <c r="E63" s="22"/>
      <c r="F63" s="34"/>
      <c r="G63" s="35" t="str">
        <f aca="false">IF(E63="","",IF(E63="E-bike",Lists!$E$6,Lists!$E$5))</f>
        <v/>
      </c>
      <c r="H63" s="25" t="str">
        <f aca="false">IF(OR(F63="",G63=""),"",IF(AND(F63&gt;0,F63&lt;=G63),"Yes","No - exceeds cap"))</f>
        <v/>
      </c>
      <c r="I63" s="24"/>
      <c r="J63" s="23" t="str">
        <f aca="false">IF(B63="","",IF(H63="","Incomplete",IF(D63&lt;&gt;"active","Not eligible: not active",IF(H63&lt;&gt;"Yes","Not eligible: cost",IF(I63="","Eligible",IF(EDATE(I63,12*Lists!$E$7)&lt;=A63,"Eligible","Not eligible: prior claim"))))))</f>
        <v/>
      </c>
      <c r="K63" s="22"/>
      <c r="L63" s="22"/>
    </row>
    <row r="64" customFormat="false" ht="15" hidden="false" customHeight="false" outlineLevel="0" collapsed="false">
      <c r="A64" s="24"/>
      <c r="B64" s="22"/>
      <c r="C64" s="25" t="str">
        <f aca="false">IF(B64="","",IFERROR(INDEX(Employees!$B$5:$B$200,MATCH(B64,Employees!$A$5:$A$200,0)),"ID not found"))</f>
        <v/>
      </c>
      <c r="D64" s="25" t="str">
        <f aca="false">IF(B64="","",IFERROR(INDEX(Employees!$I$5:$I$200,MATCH(B64,Employees!$A$5:$A$200,0)),"not found"))</f>
        <v/>
      </c>
      <c r="E64" s="22"/>
      <c r="F64" s="34"/>
      <c r="G64" s="35" t="str">
        <f aca="false">IF(E64="","",IF(E64="E-bike",Lists!$E$6,Lists!$E$5))</f>
        <v/>
      </c>
      <c r="H64" s="25" t="str">
        <f aca="false">IF(OR(F64="",G64=""),"",IF(AND(F64&gt;0,F64&lt;=G64),"Yes","No - exceeds cap"))</f>
        <v/>
      </c>
      <c r="I64" s="24"/>
      <c r="J64" s="23" t="str">
        <f aca="false">IF(B64="","",IF(H64="","Incomplete",IF(D64&lt;&gt;"active","Not eligible: not active",IF(H64&lt;&gt;"Yes","Not eligible: cost",IF(I64="","Eligible",IF(EDATE(I64,12*Lists!$E$7)&lt;=A64,"Eligible","Not eligible: prior claim"))))))</f>
        <v/>
      </c>
      <c r="K64" s="22"/>
      <c r="L64" s="22"/>
    </row>
    <row r="65" customFormat="false" ht="15" hidden="false" customHeight="false" outlineLevel="0" collapsed="false">
      <c r="A65" s="24"/>
      <c r="B65" s="22"/>
      <c r="C65" s="25" t="str">
        <f aca="false">IF(B65="","",IFERROR(INDEX(Employees!$B$5:$B$200,MATCH(B65,Employees!$A$5:$A$200,0)),"ID not found"))</f>
        <v/>
      </c>
      <c r="D65" s="25" t="str">
        <f aca="false">IF(B65="","",IFERROR(INDEX(Employees!$I$5:$I$200,MATCH(B65,Employees!$A$5:$A$200,0)),"not found"))</f>
        <v/>
      </c>
      <c r="E65" s="22"/>
      <c r="F65" s="34"/>
      <c r="G65" s="35" t="str">
        <f aca="false">IF(E65="","",IF(E65="E-bike",Lists!$E$6,Lists!$E$5))</f>
        <v/>
      </c>
      <c r="H65" s="25" t="str">
        <f aca="false">IF(OR(F65="",G65=""),"",IF(AND(F65&gt;0,F65&lt;=G65),"Yes","No - exceeds cap"))</f>
        <v/>
      </c>
      <c r="I65" s="24"/>
      <c r="J65" s="23" t="str">
        <f aca="false">IF(B65="","",IF(H65="","Incomplete",IF(D65&lt;&gt;"active","Not eligible: not active",IF(H65&lt;&gt;"Yes","Not eligible: cost",IF(I65="","Eligible",IF(EDATE(I65,12*Lists!$E$7)&lt;=A65,"Eligible","Not eligible: prior claim"))))))</f>
        <v/>
      </c>
      <c r="K65" s="22"/>
      <c r="L65" s="22"/>
    </row>
    <row r="66" customFormat="false" ht="15" hidden="false" customHeight="false" outlineLevel="0" collapsed="false">
      <c r="A66" s="24"/>
      <c r="B66" s="22"/>
      <c r="C66" s="25" t="str">
        <f aca="false">IF(B66="","",IFERROR(INDEX(Employees!$B$5:$B$200,MATCH(B66,Employees!$A$5:$A$200,0)),"ID not found"))</f>
        <v/>
      </c>
      <c r="D66" s="25" t="str">
        <f aca="false">IF(B66="","",IFERROR(INDEX(Employees!$I$5:$I$200,MATCH(B66,Employees!$A$5:$A$200,0)),"not found"))</f>
        <v/>
      </c>
      <c r="E66" s="22"/>
      <c r="F66" s="34"/>
      <c r="G66" s="35" t="str">
        <f aca="false">IF(E66="","",IF(E66="E-bike",Lists!$E$6,Lists!$E$5))</f>
        <v/>
      </c>
      <c r="H66" s="25" t="str">
        <f aca="false">IF(OR(F66="",G66=""),"",IF(AND(F66&gt;0,F66&lt;=G66),"Yes","No - exceeds cap"))</f>
        <v/>
      </c>
      <c r="I66" s="24"/>
      <c r="J66" s="23" t="str">
        <f aca="false">IF(B66="","",IF(H66="","Incomplete",IF(D66&lt;&gt;"active","Not eligible: not active",IF(H66&lt;&gt;"Yes","Not eligible: cost",IF(I66="","Eligible",IF(EDATE(I66,12*Lists!$E$7)&lt;=A66,"Eligible","Not eligible: prior claim"))))))</f>
        <v/>
      </c>
      <c r="K66" s="22"/>
      <c r="L66" s="22"/>
    </row>
    <row r="67" customFormat="false" ht="15" hidden="false" customHeight="false" outlineLevel="0" collapsed="false">
      <c r="A67" s="24"/>
      <c r="B67" s="22"/>
      <c r="C67" s="25" t="str">
        <f aca="false">IF(B67="","",IFERROR(INDEX(Employees!$B$5:$B$200,MATCH(B67,Employees!$A$5:$A$200,0)),"ID not found"))</f>
        <v/>
      </c>
      <c r="D67" s="25" t="str">
        <f aca="false">IF(B67="","",IFERROR(INDEX(Employees!$I$5:$I$200,MATCH(B67,Employees!$A$5:$A$200,0)),"not found"))</f>
        <v/>
      </c>
      <c r="E67" s="22"/>
      <c r="F67" s="34"/>
      <c r="G67" s="35" t="str">
        <f aca="false">IF(E67="","",IF(E67="E-bike",Lists!$E$6,Lists!$E$5))</f>
        <v/>
      </c>
      <c r="H67" s="25" t="str">
        <f aca="false">IF(OR(F67="",G67=""),"",IF(AND(F67&gt;0,F67&lt;=G67),"Yes","No - exceeds cap"))</f>
        <v/>
      </c>
      <c r="I67" s="24"/>
      <c r="J67" s="23" t="str">
        <f aca="false">IF(B67="","",IF(H67="","Incomplete",IF(D67&lt;&gt;"active","Not eligible: not active",IF(H67&lt;&gt;"Yes","Not eligible: cost",IF(I67="","Eligible",IF(EDATE(I67,12*Lists!$E$7)&lt;=A67,"Eligible","Not eligible: prior claim"))))))</f>
        <v/>
      </c>
      <c r="K67" s="22"/>
      <c r="L67" s="22"/>
    </row>
    <row r="68" customFormat="false" ht="15" hidden="false" customHeight="false" outlineLevel="0" collapsed="false">
      <c r="A68" s="24"/>
      <c r="B68" s="22"/>
      <c r="C68" s="25" t="str">
        <f aca="false">IF(B68="","",IFERROR(INDEX(Employees!$B$5:$B$200,MATCH(B68,Employees!$A$5:$A$200,0)),"ID not found"))</f>
        <v/>
      </c>
      <c r="D68" s="25" t="str">
        <f aca="false">IF(B68="","",IFERROR(INDEX(Employees!$I$5:$I$200,MATCH(B68,Employees!$A$5:$A$200,0)),"not found"))</f>
        <v/>
      </c>
      <c r="E68" s="22"/>
      <c r="F68" s="34"/>
      <c r="G68" s="35" t="str">
        <f aca="false">IF(E68="","",IF(E68="E-bike",Lists!$E$6,Lists!$E$5))</f>
        <v/>
      </c>
      <c r="H68" s="25" t="str">
        <f aca="false">IF(OR(F68="",G68=""),"",IF(AND(F68&gt;0,F68&lt;=G68),"Yes","No - exceeds cap"))</f>
        <v/>
      </c>
      <c r="I68" s="24"/>
      <c r="J68" s="23" t="str">
        <f aca="false">IF(B68="","",IF(H68="","Incomplete",IF(D68&lt;&gt;"active","Not eligible: not active",IF(H68&lt;&gt;"Yes","Not eligible: cost",IF(I68="","Eligible",IF(EDATE(I68,12*Lists!$E$7)&lt;=A68,"Eligible","Not eligible: prior claim"))))))</f>
        <v/>
      </c>
      <c r="K68" s="22"/>
      <c r="L68" s="22"/>
    </row>
    <row r="69" customFormat="false" ht="15" hidden="false" customHeight="false" outlineLevel="0" collapsed="false">
      <c r="A69" s="24"/>
      <c r="B69" s="22"/>
      <c r="C69" s="25" t="str">
        <f aca="false">IF(B69="","",IFERROR(INDEX(Employees!$B$5:$B$200,MATCH(B69,Employees!$A$5:$A$200,0)),"ID not found"))</f>
        <v/>
      </c>
      <c r="D69" s="25" t="str">
        <f aca="false">IF(B69="","",IFERROR(INDEX(Employees!$I$5:$I$200,MATCH(B69,Employees!$A$5:$A$200,0)),"not found"))</f>
        <v/>
      </c>
      <c r="E69" s="22"/>
      <c r="F69" s="34"/>
      <c r="G69" s="35" t="str">
        <f aca="false">IF(E69="","",IF(E69="E-bike",Lists!$E$6,Lists!$E$5))</f>
        <v/>
      </c>
      <c r="H69" s="25" t="str">
        <f aca="false">IF(OR(F69="",G69=""),"",IF(AND(F69&gt;0,F69&lt;=G69),"Yes","No - exceeds cap"))</f>
        <v/>
      </c>
      <c r="I69" s="24"/>
      <c r="J69" s="23" t="str">
        <f aca="false">IF(B69="","",IF(H69="","Incomplete",IF(D69&lt;&gt;"active","Not eligible: not active",IF(H69&lt;&gt;"Yes","Not eligible: cost",IF(I69="","Eligible",IF(EDATE(I69,12*Lists!$E$7)&lt;=A69,"Eligible","Not eligible: prior claim"))))))</f>
        <v/>
      </c>
      <c r="K69" s="22"/>
      <c r="L69" s="22"/>
    </row>
    <row r="70" customFormat="false" ht="15" hidden="false" customHeight="false" outlineLevel="0" collapsed="false">
      <c r="A70" s="24"/>
      <c r="B70" s="22"/>
      <c r="C70" s="25" t="str">
        <f aca="false">IF(B70="","",IFERROR(INDEX(Employees!$B$5:$B$200,MATCH(B70,Employees!$A$5:$A$200,0)),"ID not found"))</f>
        <v/>
      </c>
      <c r="D70" s="25" t="str">
        <f aca="false">IF(B70="","",IFERROR(INDEX(Employees!$I$5:$I$200,MATCH(B70,Employees!$A$5:$A$200,0)),"not found"))</f>
        <v/>
      </c>
      <c r="E70" s="22"/>
      <c r="F70" s="34"/>
      <c r="G70" s="35" t="str">
        <f aca="false">IF(E70="","",IF(E70="E-bike",Lists!$E$6,Lists!$E$5))</f>
        <v/>
      </c>
      <c r="H70" s="25" t="str">
        <f aca="false">IF(OR(F70="",G70=""),"",IF(AND(F70&gt;0,F70&lt;=G70),"Yes","No - exceeds cap"))</f>
        <v/>
      </c>
      <c r="I70" s="24"/>
      <c r="J70" s="23" t="str">
        <f aca="false">IF(B70="","",IF(H70="","Incomplete",IF(D70&lt;&gt;"active","Not eligible: not active",IF(H70&lt;&gt;"Yes","Not eligible: cost",IF(I70="","Eligible",IF(EDATE(I70,12*Lists!$E$7)&lt;=A70,"Eligible","Not eligible: prior claim"))))))</f>
        <v/>
      </c>
      <c r="K70" s="22"/>
      <c r="L70" s="22"/>
    </row>
    <row r="71" customFormat="false" ht="15" hidden="false" customHeight="false" outlineLevel="0" collapsed="false">
      <c r="A71" s="24"/>
      <c r="B71" s="22"/>
      <c r="C71" s="25" t="str">
        <f aca="false">IF(B71="","",IFERROR(INDEX(Employees!$B$5:$B$200,MATCH(B71,Employees!$A$5:$A$200,0)),"ID not found"))</f>
        <v/>
      </c>
      <c r="D71" s="25" t="str">
        <f aca="false">IF(B71="","",IFERROR(INDEX(Employees!$I$5:$I$200,MATCH(B71,Employees!$A$5:$A$200,0)),"not found"))</f>
        <v/>
      </c>
      <c r="E71" s="22"/>
      <c r="F71" s="34"/>
      <c r="G71" s="35" t="str">
        <f aca="false">IF(E71="","",IF(E71="E-bike",Lists!$E$6,Lists!$E$5))</f>
        <v/>
      </c>
      <c r="H71" s="25" t="str">
        <f aca="false">IF(OR(F71="",G71=""),"",IF(AND(F71&gt;0,F71&lt;=G71),"Yes","No - exceeds cap"))</f>
        <v/>
      </c>
      <c r="I71" s="24"/>
      <c r="J71" s="23" t="str">
        <f aca="false">IF(B71="","",IF(H71="","Incomplete",IF(D71&lt;&gt;"active","Not eligible: not active",IF(H71&lt;&gt;"Yes","Not eligible: cost",IF(I71="","Eligible",IF(EDATE(I71,12*Lists!$E$7)&lt;=A71,"Eligible","Not eligible: prior claim"))))))</f>
        <v/>
      </c>
      <c r="K71" s="22"/>
      <c r="L71" s="22"/>
    </row>
    <row r="72" customFormat="false" ht="15" hidden="false" customHeight="false" outlineLevel="0" collapsed="false">
      <c r="A72" s="24"/>
      <c r="B72" s="22"/>
      <c r="C72" s="25" t="str">
        <f aca="false">IF(B72="","",IFERROR(INDEX(Employees!$B$5:$B$200,MATCH(B72,Employees!$A$5:$A$200,0)),"ID not found"))</f>
        <v/>
      </c>
      <c r="D72" s="25" t="str">
        <f aca="false">IF(B72="","",IFERROR(INDEX(Employees!$I$5:$I$200,MATCH(B72,Employees!$A$5:$A$200,0)),"not found"))</f>
        <v/>
      </c>
      <c r="E72" s="22"/>
      <c r="F72" s="34"/>
      <c r="G72" s="35" t="str">
        <f aca="false">IF(E72="","",IF(E72="E-bike",Lists!$E$6,Lists!$E$5))</f>
        <v/>
      </c>
      <c r="H72" s="25" t="str">
        <f aca="false">IF(OR(F72="",G72=""),"",IF(AND(F72&gt;0,F72&lt;=G72),"Yes","No - exceeds cap"))</f>
        <v/>
      </c>
      <c r="I72" s="24"/>
      <c r="J72" s="23" t="str">
        <f aca="false">IF(B72="","",IF(H72="","Incomplete",IF(D72&lt;&gt;"active","Not eligible: not active",IF(H72&lt;&gt;"Yes","Not eligible: cost",IF(I72="","Eligible",IF(EDATE(I72,12*Lists!$E$7)&lt;=A72,"Eligible","Not eligible: prior claim"))))))</f>
        <v/>
      </c>
      <c r="K72" s="22"/>
      <c r="L72" s="22"/>
    </row>
    <row r="73" customFormat="false" ht="15" hidden="false" customHeight="false" outlineLevel="0" collapsed="false">
      <c r="A73" s="24"/>
      <c r="B73" s="22"/>
      <c r="C73" s="25" t="str">
        <f aca="false">IF(B73="","",IFERROR(INDEX(Employees!$B$5:$B$200,MATCH(B73,Employees!$A$5:$A$200,0)),"ID not found"))</f>
        <v/>
      </c>
      <c r="D73" s="25" t="str">
        <f aca="false">IF(B73="","",IFERROR(INDEX(Employees!$I$5:$I$200,MATCH(B73,Employees!$A$5:$A$200,0)),"not found"))</f>
        <v/>
      </c>
      <c r="E73" s="22"/>
      <c r="F73" s="34"/>
      <c r="G73" s="35" t="str">
        <f aca="false">IF(E73="","",IF(E73="E-bike",Lists!$E$6,Lists!$E$5))</f>
        <v/>
      </c>
      <c r="H73" s="25" t="str">
        <f aca="false">IF(OR(F73="",G73=""),"",IF(AND(F73&gt;0,F73&lt;=G73),"Yes","No - exceeds cap"))</f>
        <v/>
      </c>
      <c r="I73" s="24"/>
      <c r="J73" s="23" t="str">
        <f aca="false">IF(B73="","",IF(H73="","Incomplete",IF(D73&lt;&gt;"active","Not eligible: not active",IF(H73&lt;&gt;"Yes","Not eligible: cost",IF(I73="","Eligible",IF(EDATE(I73,12*Lists!$E$7)&lt;=A73,"Eligible","Not eligible: prior claim"))))))</f>
        <v/>
      </c>
      <c r="K73" s="22"/>
      <c r="L73" s="22"/>
    </row>
    <row r="74" customFormat="false" ht="15" hidden="false" customHeight="false" outlineLevel="0" collapsed="false">
      <c r="A74" s="24"/>
      <c r="B74" s="22"/>
      <c r="C74" s="25" t="str">
        <f aca="false">IF(B74="","",IFERROR(INDEX(Employees!$B$5:$B$200,MATCH(B74,Employees!$A$5:$A$200,0)),"ID not found"))</f>
        <v/>
      </c>
      <c r="D74" s="25" t="str">
        <f aca="false">IF(B74="","",IFERROR(INDEX(Employees!$I$5:$I$200,MATCH(B74,Employees!$A$5:$A$200,0)),"not found"))</f>
        <v/>
      </c>
      <c r="E74" s="22"/>
      <c r="F74" s="34"/>
      <c r="G74" s="35" t="str">
        <f aca="false">IF(E74="","",IF(E74="E-bike",Lists!$E$6,Lists!$E$5))</f>
        <v/>
      </c>
      <c r="H74" s="25" t="str">
        <f aca="false">IF(OR(F74="",G74=""),"",IF(AND(F74&gt;0,F74&lt;=G74),"Yes","No - exceeds cap"))</f>
        <v/>
      </c>
      <c r="I74" s="24"/>
      <c r="J74" s="23" t="str">
        <f aca="false">IF(B74="","",IF(H74="","Incomplete",IF(D74&lt;&gt;"active","Not eligible: not active",IF(H74&lt;&gt;"Yes","Not eligible: cost",IF(I74="","Eligible",IF(EDATE(I74,12*Lists!$E$7)&lt;=A74,"Eligible","Not eligible: prior claim"))))))</f>
        <v/>
      </c>
      <c r="K74" s="22"/>
      <c r="L74" s="22"/>
    </row>
    <row r="75" customFormat="false" ht="15" hidden="false" customHeight="false" outlineLevel="0" collapsed="false">
      <c r="A75" s="24"/>
      <c r="B75" s="22"/>
      <c r="C75" s="25" t="str">
        <f aca="false">IF(B75="","",IFERROR(INDEX(Employees!$B$5:$B$200,MATCH(B75,Employees!$A$5:$A$200,0)),"ID not found"))</f>
        <v/>
      </c>
      <c r="D75" s="25" t="str">
        <f aca="false">IF(B75="","",IFERROR(INDEX(Employees!$I$5:$I$200,MATCH(B75,Employees!$A$5:$A$200,0)),"not found"))</f>
        <v/>
      </c>
      <c r="E75" s="22"/>
      <c r="F75" s="34"/>
      <c r="G75" s="35" t="str">
        <f aca="false">IF(E75="","",IF(E75="E-bike",Lists!$E$6,Lists!$E$5))</f>
        <v/>
      </c>
      <c r="H75" s="25" t="str">
        <f aca="false">IF(OR(F75="",G75=""),"",IF(AND(F75&gt;0,F75&lt;=G75),"Yes","No - exceeds cap"))</f>
        <v/>
      </c>
      <c r="I75" s="24"/>
      <c r="J75" s="23" t="str">
        <f aca="false">IF(B75="","",IF(H75="","Incomplete",IF(D75&lt;&gt;"active","Not eligible: not active",IF(H75&lt;&gt;"Yes","Not eligible: cost",IF(I75="","Eligible",IF(EDATE(I75,12*Lists!$E$7)&lt;=A75,"Eligible","Not eligible: prior claim"))))))</f>
        <v/>
      </c>
      <c r="K75" s="22"/>
      <c r="L75" s="22"/>
    </row>
    <row r="76" customFormat="false" ht="15" hidden="false" customHeight="false" outlineLevel="0" collapsed="false">
      <c r="A76" s="24"/>
      <c r="B76" s="22"/>
      <c r="C76" s="25" t="str">
        <f aca="false">IF(B76="","",IFERROR(INDEX(Employees!$B$5:$B$200,MATCH(B76,Employees!$A$5:$A$200,0)),"ID not found"))</f>
        <v/>
      </c>
      <c r="D76" s="25" t="str">
        <f aca="false">IF(B76="","",IFERROR(INDEX(Employees!$I$5:$I$200,MATCH(B76,Employees!$A$5:$A$200,0)),"not found"))</f>
        <v/>
      </c>
      <c r="E76" s="22"/>
      <c r="F76" s="34"/>
      <c r="G76" s="35" t="str">
        <f aca="false">IF(E76="","",IF(E76="E-bike",Lists!$E$6,Lists!$E$5))</f>
        <v/>
      </c>
      <c r="H76" s="25" t="str">
        <f aca="false">IF(OR(F76="",G76=""),"",IF(AND(F76&gt;0,F76&lt;=G76),"Yes","No - exceeds cap"))</f>
        <v/>
      </c>
      <c r="I76" s="24"/>
      <c r="J76" s="23" t="str">
        <f aca="false">IF(B76="","",IF(H76="","Incomplete",IF(D76&lt;&gt;"active","Not eligible: not active",IF(H76&lt;&gt;"Yes","Not eligible: cost",IF(I76="","Eligible",IF(EDATE(I76,12*Lists!$E$7)&lt;=A76,"Eligible","Not eligible: prior claim"))))))</f>
        <v/>
      </c>
      <c r="K76" s="22"/>
      <c r="L76" s="22"/>
    </row>
    <row r="77" customFormat="false" ht="15" hidden="false" customHeight="false" outlineLevel="0" collapsed="false">
      <c r="A77" s="24"/>
      <c r="B77" s="22"/>
      <c r="C77" s="25" t="str">
        <f aca="false">IF(B77="","",IFERROR(INDEX(Employees!$B$5:$B$200,MATCH(B77,Employees!$A$5:$A$200,0)),"ID not found"))</f>
        <v/>
      </c>
      <c r="D77" s="25" t="str">
        <f aca="false">IF(B77="","",IFERROR(INDEX(Employees!$I$5:$I$200,MATCH(B77,Employees!$A$5:$A$200,0)),"not found"))</f>
        <v/>
      </c>
      <c r="E77" s="22"/>
      <c r="F77" s="34"/>
      <c r="G77" s="35" t="str">
        <f aca="false">IF(E77="","",IF(E77="E-bike",Lists!$E$6,Lists!$E$5))</f>
        <v/>
      </c>
      <c r="H77" s="25" t="str">
        <f aca="false">IF(OR(F77="",G77=""),"",IF(AND(F77&gt;0,F77&lt;=G77),"Yes","No - exceeds cap"))</f>
        <v/>
      </c>
      <c r="I77" s="24"/>
      <c r="J77" s="23" t="str">
        <f aca="false">IF(B77="","",IF(H77="","Incomplete",IF(D77&lt;&gt;"active","Not eligible: not active",IF(H77&lt;&gt;"Yes","Not eligible: cost",IF(I77="","Eligible",IF(EDATE(I77,12*Lists!$E$7)&lt;=A77,"Eligible","Not eligible: prior claim"))))))</f>
        <v/>
      </c>
      <c r="K77" s="22"/>
      <c r="L77" s="22"/>
    </row>
    <row r="78" customFormat="false" ht="15" hidden="false" customHeight="false" outlineLevel="0" collapsed="false">
      <c r="A78" s="24"/>
      <c r="B78" s="22"/>
      <c r="C78" s="25" t="str">
        <f aca="false">IF(B78="","",IFERROR(INDEX(Employees!$B$5:$B$200,MATCH(B78,Employees!$A$5:$A$200,0)),"ID not found"))</f>
        <v/>
      </c>
      <c r="D78" s="25" t="str">
        <f aca="false">IF(B78="","",IFERROR(INDEX(Employees!$I$5:$I$200,MATCH(B78,Employees!$A$5:$A$200,0)),"not found"))</f>
        <v/>
      </c>
      <c r="E78" s="22"/>
      <c r="F78" s="34"/>
      <c r="G78" s="35" t="str">
        <f aca="false">IF(E78="","",IF(E78="E-bike",Lists!$E$6,Lists!$E$5))</f>
        <v/>
      </c>
      <c r="H78" s="25" t="str">
        <f aca="false">IF(OR(F78="",G78=""),"",IF(AND(F78&gt;0,F78&lt;=G78),"Yes","No - exceeds cap"))</f>
        <v/>
      </c>
      <c r="I78" s="24"/>
      <c r="J78" s="23" t="str">
        <f aca="false">IF(B78="","",IF(H78="","Incomplete",IF(D78&lt;&gt;"active","Not eligible: not active",IF(H78&lt;&gt;"Yes","Not eligible: cost",IF(I78="","Eligible",IF(EDATE(I78,12*Lists!$E$7)&lt;=A78,"Eligible","Not eligible: prior claim"))))))</f>
        <v/>
      </c>
      <c r="K78" s="22"/>
      <c r="L78" s="22"/>
    </row>
    <row r="79" customFormat="false" ht="15" hidden="false" customHeight="false" outlineLevel="0" collapsed="false">
      <c r="A79" s="24"/>
      <c r="B79" s="22"/>
      <c r="C79" s="25" t="str">
        <f aca="false">IF(B79="","",IFERROR(INDEX(Employees!$B$5:$B$200,MATCH(B79,Employees!$A$5:$A$200,0)),"ID not found"))</f>
        <v/>
      </c>
      <c r="D79" s="25" t="str">
        <f aca="false">IF(B79="","",IFERROR(INDEX(Employees!$I$5:$I$200,MATCH(B79,Employees!$A$5:$A$200,0)),"not found"))</f>
        <v/>
      </c>
      <c r="E79" s="22"/>
      <c r="F79" s="34"/>
      <c r="G79" s="35" t="str">
        <f aca="false">IF(E79="","",IF(E79="E-bike",Lists!$E$6,Lists!$E$5))</f>
        <v/>
      </c>
      <c r="H79" s="25" t="str">
        <f aca="false">IF(OR(F79="",G79=""),"",IF(AND(F79&gt;0,F79&lt;=G79),"Yes","No - exceeds cap"))</f>
        <v/>
      </c>
      <c r="I79" s="24"/>
      <c r="J79" s="23" t="str">
        <f aca="false">IF(B79="","",IF(H79="","Incomplete",IF(D79&lt;&gt;"active","Not eligible: not active",IF(H79&lt;&gt;"Yes","Not eligible: cost",IF(I79="","Eligible",IF(EDATE(I79,12*Lists!$E$7)&lt;=A79,"Eligible","Not eligible: prior claim"))))))</f>
        <v/>
      </c>
      <c r="K79" s="22"/>
      <c r="L79" s="22"/>
    </row>
    <row r="80" customFormat="false" ht="15" hidden="false" customHeight="false" outlineLevel="0" collapsed="false">
      <c r="A80" s="24"/>
      <c r="B80" s="22"/>
      <c r="C80" s="25" t="str">
        <f aca="false">IF(B80="","",IFERROR(INDEX(Employees!$B$5:$B$200,MATCH(B80,Employees!$A$5:$A$200,0)),"ID not found"))</f>
        <v/>
      </c>
      <c r="D80" s="25" t="str">
        <f aca="false">IF(B80="","",IFERROR(INDEX(Employees!$I$5:$I$200,MATCH(B80,Employees!$A$5:$A$200,0)),"not found"))</f>
        <v/>
      </c>
      <c r="E80" s="22"/>
      <c r="F80" s="34"/>
      <c r="G80" s="35" t="str">
        <f aca="false">IF(E80="","",IF(E80="E-bike",Lists!$E$6,Lists!$E$5))</f>
        <v/>
      </c>
      <c r="H80" s="25" t="str">
        <f aca="false">IF(OR(F80="",G80=""),"",IF(AND(F80&gt;0,F80&lt;=G80),"Yes","No - exceeds cap"))</f>
        <v/>
      </c>
      <c r="I80" s="24"/>
      <c r="J80" s="23" t="str">
        <f aca="false">IF(B80="","",IF(H80="","Incomplete",IF(D80&lt;&gt;"active","Not eligible: not active",IF(H80&lt;&gt;"Yes","Not eligible: cost",IF(I80="","Eligible",IF(EDATE(I80,12*Lists!$E$7)&lt;=A80,"Eligible","Not eligible: prior claim"))))))</f>
        <v/>
      </c>
      <c r="K80" s="22"/>
      <c r="L80" s="22"/>
    </row>
    <row r="81" customFormat="false" ht="15" hidden="false" customHeight="false" outlineLevel="0" collapsed="false">
      <c r="A81" s="24"/>
      <c r="B81" s="22"/>
      <c r="C81" s="25" t="str">
        <f aca="false">IF(B81="","",IFERROR(INDEX(Employees!$B$5:$B$200,MATCH(B81,Employees!$A$5:$A$200,0)),"ID not found"))</f>
        <v/>
      </c>
      <c r="D81" s="25" t="str">
        <f aca="false">IF(B81="","",IFERROR(INDEX(Employees!$I$5:$I$200,MATCH(B81,Employees!$A$5:$A$200,0)),"not found"))</f>
        <v/>
      </c>
      <c r="E81" s="22"/>
      <c r="F81" s="34"/>
      <c r="G81" s="35" t="str">
        <f aca="false">IF(E81="","",IF(E81="E-bike",Lists!$E$6,Lists!$E$5))</f>
        <v/>
      </c>
      <c r="H81" s="25" t="str">
        <f aca="false">IF(OR(F81="",G81=""),"",IF(AND(F81&gt;0,F81&lt;=G81),"Yes","No - exceeds cap"))</f>
        <v/>
      </c>
      <c r="I81" s="24"/>
      <c r="J81" s="23" t="str">
        <f aca="false">IF(B81="","",IF(H81="","Incomplete",IF(D81&lt;&gt;"active","Not eligible: not active",IF(H81&lt;&gt;"Yes","Not eligible: cost",IF(I81="","Eligible",IF(EDATE(I81,12*Lists!$E$7)&lt;=A81,"Eligible","Not eligible: prior claim"))))))</f>
        <v/>
      </c>
      <c r="K81" s="22"/>
      <c r="L81" s="22"/>
    </row>
    <row r="82" customFormat="false" ht="15" hidden="false" customHeight="false" outlineLevel="0" collapsed="false">
      <c r="A82" s="24"/>
      <c r="B82" s="22"/>
      <c r="C82" s="25" t="str">
        <f aca="false">IF(B82="","",IFERROR(INDEX(Employees!$B$5:$B$200,MATCH(B82,Employees!$A$5:$A$200,0)),"ID not found"))</f>
        <v/>
      </c>
      <c r="D82" s="25" t="str">
        <f aca="false">IF(B82="","",IFERROR(INDEX(Employees!$I$5:$I$200,MATCH(B82,Employees!$A$5:$A$200,0)),"not found"))</f>
        <v/>
      </c>
      <c r="E82" s="22"/>
      <c r="F82" s="34"/>
      <c r="G82" s="35" t="str">
        <f aca="false">IF(E82="","",IF(E82="E-bike",Lists!$E$6,Lists!$E$5))</f>
        <v/>
      </c>
      <c r="H82" s="25" t="str">
        <f aca="false">IF(OR(F82="",G82=""),"",IF(AND(F82&gt;0,F82&lt;=G82),"Yes","No - exceeds cap"))</f>
        <v/>
      </c>
      <c r="I82" s="24"/>
      <c r="J82" s="23" t="str">
        <f aca="false">IF(B82="","",IF(H82="","Incomplete",IF(D82&lt;&gt;"active","Not eligible: not active",IF(H82&lt;&gt;"Yes","Not eligible: cost",IF(I82="","Eligible",IF(EDATE(I82,12*Lists!$E$7)&lt;=A82,"Eligible","Not eligible: prior claim"))))))</f>
        <v/>
      </c>
      <c r="K82" s="22"/>
      <c r="L82" s="22"/>
    </row>
    <row r="83" customFormat="false" ht="15" hidden="false" customHeight="false" outlineLevel="0" collapsed="false">
      <c r="A83" s="24"/>
      <c r="B83" s="22"/>
      <c r="C83" s="25" t="str">
        <f aca="false">IF(B83="","",IFERROR(INDEX(Employees!$B$5:$B$200,MATCH(B83,Employees!$A$5:$A$200,0)),"ID not found"))</f>
        <v/>
      </c>
      <c r="D83" s="25" t="str">
        <f aca="false">IF(B83="","",IFERROR(INDEX(Employees!$I$5:$I$200,MATCH(B83,Employees!$A$5:$A$200,0)),"not found"))</f>
        <v/>
      </c>
      <c r="E83" s="22"/>
      <c r="F83" s="34"/>
      <c r="G83" s="35" t="str">
        <f aca="false">IF(E83="","",IF(E83="E-bike",Lists!$E$6,Lists!$E$5))</f>
        <v/>
      </c>
      <c r="H83" s="25" t="str">
        <f aca="false">IF(OR(F83="",G83=""),"",IF(AND(F83&gt;0,F83&lt;=G83),"Yes","No - exceeds cap"))</f>
        <v/>
      </c>
      <c r="I83" s="24"/>
      <c r="J83" s="23" t="str">
        <f aca="false">IF(B83="","",IF(H83="","Incomplete",IF(D83&lt;&gt;"active","Not eligible: not active",IF(H83&lt;&gt;"Yes","Not eligible: cost",IF(I83="","Eligible",IF(EDATE(I83,12*Lists!$E$7)&lt;=A83,"Eligible","Not eligible: prior claim"))))))</f>
        <v/>
      </c>
      <c r="K83" s="22"/>
      <c r="L83" s="22"/>
    </row>
    <row r="84" customFormat="false" ht="15" hidden="false" customHeight="false" outlineLevel="0" collapsed="false">
      <c r="A84" s="24"/>
      <c r="B84" s="22"/>
      <c r="C84" s="25" t="str">
        <f aca="false">IF(B84="","",IFERROR(INDEX(Employees!$B$5:$B$200,MATCH(B84,Employees!$A$5:$A$200,0)),"ID not found"))</f>
        <v/>
      </c>
      <c r="D84" s="25" t="str">
        <f aca="false">IF(B84="","",IFERROR(INDEX(Employees!$I$5:$I$200,MATCH(B84,Employees!$A$5:$A$200,0)),"not found"))</f>
        <v/>
      </c>
      <c r="E84" s="22"/>
      <c r="F84" s="34"/>
      <c r="G84" s="35" t="str">
        <f aca="false">IF(E84="","",IF(E84="E-bike",Lists!$E$6,Lists!$E$5))</f>
        <v/>
      </c>
      <c r="H84" s="25" t="str">
        <f aca="false">IF(OR(F84="",G84=""),"",IF(AND(F84&gt;0,F84&lt;=G84),"Yes","No - exceeds cap"))</f>
        <v/>
      </c>
      <c r="I84" s="24"/>
      <c r="J84" s="23" t="str">
        <f aca="false">IF(B84="","",IF(H84="","Incomplete",IF(D84&lt;&gt;"active","Not eligible: not active",IF(H84&lt;&gt;"Yes","Not eligible: cost",IF(I84="","Eligible",IF(EDATE(I84,12*Lists!$E$7)&lt;=A84,"Eligible","Not eligible: prior claim"))))))</f>
        <v/>
      </c>
      <c r="K84" s="22"/>
      <c r="L84" s="22"/>
    </row>
    <row r="85" customFormat="false" ht="15" hidden="false" customHeight="false" outlineLevel="0" collapsed="false">
      <c r="A85" s="24"/>
      <c r="B85" s="22"/>
      <c r="C85" s="25" t="str">
        <f aca="false">IF(B85="","",IFERROR(INDEX(Employees!$B$5:$B$200,MATCH(B85,Employees!$A$5:$A$200,0)),"ID not found"))</f>
        <v/>
      </c>
      <c r="D85" s="25" t="str">
        <f aca="false">IF(B85="","",IFERROR(INDEX(Employees!$I$5:$I$200,MATCH(B85,Employees!$A$5:$A$200,0)),"not found"))</f>
        <v/>
      </c>
      <c r="E85" s="22"/>
      <c r="F85" s="34"/>
      <c r="G85" s="35" t="str">
        <f aca="false">IF(E85="","",IF(E85="E-bike",Lists!$E$6,Lists!$E$5))</f>
        <v/>
      </c>
      <c r="H85" s="25" t="str">
        <f aca="false">IF(OR(F85="",G85=""),"",IF(AND(F85&gt;0,F85&lt;=G85),"Yes","No - exceeds cap"))</f>
        <v/>
      </c>
      <c r="I85" s="24"/>
      <c r="J85" s="23" t="str">
        <f aca="false">IF(B85="","",IF(H85="","Incomplete",IF(D85&lt;&gt;"active","Not eligible: not active",IF(H85&lt;&gt;"Yes","Not eligible: cost",IF(I85="","Eligible",IF(EDATE(I85,12*Lists!$E$7)&lt;=A85,"Eligible","Not eligible: prior claim"))))))</f>
        <v/>
      </c>
      <c r="K85" s="22"/>
      <c r="L85" s="22"/>
    </row>
    <row r="86" customFormat="false" ht="15" hidden="false" customHeight="false" outlineLevel="0" collapsed="false">
      <c r="A86" s="24"/>
      <c r="B86" s="22"/>
      <c r="C86" s="25" t="str">
        <f aca="false">IF(B86="","",IFERROR(INDEX(Employees!$B$5:$B$200,MATCH(B86,Employees!$A$5:$A$200,0)),"ID not found"))</f>
        <v/>
      </c>
      <c r="D86" s="25" t="str">
        <f aca="false">IF(B86="","",IFERROR(INDEX(Employees!$I$5:$I$200,MATCH(B86,Employees!$A$5:$A$200,0)),"not found"))</f>
        <v/>
      </c>
      <c r="E86" s="22"/>
      <c r="F86" s="34"/>
      <c r="G86" s="35" t="str">
        <f aca="false">IF(E86="","",IF(E86="E-bike",Lists!$E$6,Lists!$E$5))</f>
        <v/>
      </c>
      <c r="H86" s="25" t="str">
        <f aca="false">IF(OR(F86="",G86=""),"",IF(AND(F86&gt;0,F86&lt;=G86),"Yes","No - exceeds cap"))</f>
        <v/>
      </c>
      <c r="I86" s="24"/>
      <c r="J86" s="23" t="str">
        <f aca="false">IF(B86="","",IF(H86="","Incomplete",IF(D86&lt;&gt;"active","Not eligible: not active",IF(H86&lt;&gt;"Yes","Not eligible: cost",IF(I86="","Eligible",IF(EDATE(I86,12*Lists!$E$7)&lt;=A86,"Eligible","Not eligible: prior claim"))))))</f>
        <v/>
      </c>
      <c r="K86" s="22"/>
      <c r="L86" s="22"/>
    </row>
    <row r="87" customFormat="false" ht="15" hidden="false" customHeight="false" outlineLevel="0" collapsed="false">
      <c r="A87" s="24"/>
      <c r="B87" s="22"/>
      <c r="C87" s="25" t="str">
        <f aca="false">IF(B87="","",IFERROR(INDEX(Employees!$B$5:$B$200,MATCH(B87,Employees!$A$5:$A$200,0)),"ID not found"))</f>
        <v/>
      </c>
      <c r="D87" s="25" t="str">
        <f aca="false">IF(B87="","",IFERROR(INDEX(Employees!$I$5:$I$200,MATCH(B87,Employees!$A$5:$A$200,0)),"not found"))</f>
        <v/>
      </c>
      <c r="E87" s="22"/>
      <c r="F87" s="34"/>
      <c r="G87" s="35" t="str">
        <f aca="false">IF(E87="","",IF(E87="E-bike",Lists!$E$6,Lists!$E$5))</f>
        <v/>
      </c>
      <c r="H87" s="25" t="str">
        <f aca="false">IF(OR(F87="",G87=""),"",IF(AND(F87&gt;0,F87&lt;=G87),"Yes","No - exceeds cap"))</f>
        <v/>
      </c>
      <c r="I87" s="24"/>
      <c r="J87" s="23" t="str">
        <f aca="false">IF(B87="","",IF(H87="","Incomplete",IF(D87&lt;&gt;"active","Not eligible: not active",IF(H87&lt;&gt;"Yes","Not eligible: cost",IF(I87="","Eligible",IF(EDATE(I87,12*Lists!$E$7)&lt;=A87,"Eligible","Not eligible: prior claim"))))))</f>
        <v/>
      </c>
      <c r="K87" s="22"/>
      <c r="L87" s="22"/>
    </row>
    <row r="88" customFormat="false" ht="15" hidden="false" customHeight="false" outlineLevel="0" collapsed="false">
      <c r="A88" s="24"/>
      <c r="B88" s="22"/>
      <c r="C88" s="25" t="str">
        <f aca="false">IF(B88="","",IFERROR(INDEX(Employees!$B$5:$B$200,MATCH(B88,Employees!$A$5:$A$200,0)),"ID not found"))</f>
        <v/>
      </c>
      <c r="D88" s="25" t="str">
        <f aca="false">IF(B88="","",IFERROR(INDEX(Employees!$I$5:$I$200,MATCH(B88,Employees!$A$5:$A$200,0)),"not found"))</f>
        <v/>
      </c>
      <c r="E88" s="22"/>
      <c r="F88" s="34"/>
      <c r="G88" s="35" t="str">
        <f aca="false">IF(E88="","",IF(E88="E-bike",Lists!$E$6,Lists!$E$5))</f>
        <v/>
      </c>
      <c r="H88" s="25" t="str">
        <f aca="false">IF(OR(F88="",G88=""),"",IF(AND(F88&gt;0,F88&lt;=G88),"Yes","No - exceeds cap"))</f>
        <v/>
      </c>
      <c r="I88" s="24"/>
      <c r="J88" s="23" t="str">
        <f aca="false">IF(B88="","",IF(H88="","Incomplete",IF(D88&lt;&gt;"active","Not eligible: not active",IF(H88&lt;&gt;"Yes","Not eligible: cost",IF(I88="","Eligible",IF(EDATE(I88,12*Lists!$E$7)&lt;=A88,"Eligible","Not eligible: prior claim"))))))</f>
        <v/>
      </c>
      <c r="K88" s="22"/>
      <c r="L88" s="22"/>
    </row>
    <row r="89" customFormat="false" ht="15" hidden="false" customHeight="false" outlineLevel="0" collapsed="false">
      <c r="A89" s="24"/>
      <c r="B89" s="22"/>
      <c r="C89" s="25" t="str">
        <f aca="false">IF(B89="","",IFERROR(INDEX(Employees!$B$5:$B$200,MATCH(B89,Employees!$A$5:$A$200,0)),"ID not found"))</f>
        <v/>
      </c>
      <c r="D89" s="25" t="str">
        <f aca="false">IF(B89="","",IFERROR(INDEX(Employees!$I$5:$I$200,MATCH(B89,Employees!$A$5:$A$200,0)),"not found"))</f>
        <v/>
      </c>
      <c r="E89" s="22"/>
      <c r="F89" s="34"/>
      <c r="G89" s="35" t="str">
        <f aca="false">IF(E89="","",IF(E89="E-bike",Lists!$E$6,Lists!$E$5))</f>
        <v/>
      </c>
      <c r="H89" s="25" t="str">
        <f aca="false">IF(OR(F89="",G89=""),"",IF(AND(F89&gt;0,F89&lt;=G89),"Yes","No - exceeds cap"))</f>
        <v/>
      </c>
      <c r="I89" s="24"/>
      <c r="J89" s="23" t="str">
        <f aca="false">IF(B89="","",IF(H89="","Incomplete",IF(D89&lt;&gt;"active","Not eligible: not active",IF(H89&lt;&gt;"Yes","Not eligible: cost",IF(I89="","Eligible",IF(EDATE(I89,12*Lists!$E$7)&lt;=A89,"Eligible","Not eligible: prior claim"))))))</f>
        <v/>
      </c>
      <c r="K89" s="22"/>
      <c r="L89" s="22"/>
    </row>
    <row r="90" customFormat="false" ht="15" hidden="false" customHeight="false" outlineLevel="0" collapsed="false">
      <c r="A90" s="24"/>
      <c r="B90" s="22"/>
      <c r="C90" s="25" t="str">
        <f aca="false">IF(B90="","",IFERROR(INDEX(Employees!$B$5:$B$200,MATCH(B90,Employees!$A$5:$A$200,0)),"ID not found"))</f>
        <v/>
      </c>
      <c r="D90" s="25" t="str">
        <f aca="false">IF(B90="","",IFERROR(INDEX(Employees!$I$5:$I$200,MATCH(B90,Employees!$A$5:$A$200,0)),"not found"))</f>
        <v/>
      </c>
      <c r="E90" s="22"/>
      <c r="F90" s="34"/>
      <c r="G90" s="35" t="str">
        <f aca="false">IF(E90="","",IF(E90="E-bike",Lists!$E$6,Lists!$E$5))</f>
        <v/>
      </c>
      <c r="H90" s="25" t="str">
        <f aca="false">IF(OR(F90="",G90=""),"",IF(AND(F90&gt;0,F90&lt;=G90),"Yes","No - exceeds cap"))</f>
        <v/>
      </c>
      <c r="I90" s="24"/>
      <c r="J90" s="23" t="str">
        <f aca="false">IF(B90="","",IF(H90="","Incomplete",IF(D90&lt;&gt;"active","Not eligible: not active",IF(H90&lt;&gt;"Yes","Not eligible: cost",IF(I90="","Eligible",IF(EDATE(I90,12*Lists!$E$7)&lt;=A90,"Eligible","Not eligible: prior claim"))))))</f>
        <v/>
      </c>
      <c r="K90" s="22"/>
      <c r="L90" s="22"/>
    </row>
    <row r="91" customFormat="false" ht="15" hidden="false" customHeight="false" outlineLevel="0" collapsed="false">
      <c r="A91" s="24"/>
      <c r="B91" s="22"/>
      <c r="C91" s="25" t="str">
        <f aca="false">IF(B91="","",IFERROR(INDEX(Employees!$B$5:$B$200,MATCH(B91,Employees!$A$5:$A$200,0)),"ID not found"))</f>
        <v/>
      </c>
      <c r="D91" s="25" t="str">
        <f aca="false">IF(B91="","",IFERROR(INDEX(Employees!$I$5:$I$200,MATCH(B91,Employees!$A$5:$A$200,0)),"not found"))</f>
        <v/>
      </c>
      <c r="E91" s="22"/>
      <c r="F91" s="34"/>
      <c r="G91" s="35" t="str">
        <f aca="false">IF(E91="","",IF(E91="E-bike",Lists!$E$6,Lists!$E$5))</f>
        <v/>
      </c>
      <c r="H91" s="25" t="str">
        <f aca="false">IF(OR(F91="",G91=""),"",IF(AND(F91&gt;0,F91&lt;=G91),"Yes","No - exceeds cap"))</f>
        <v/>
      </c>
      <c r="I91" s="24"/>
      <c r="J91" s="23" t="str">
        <f aca="false">IF(B91="","",IF(H91="","Incomplete",IF(D91&lt;&gt;"active","Not eligible: not active",IF(H91&lt;&gt;"Yes","Not eligible: cost",IF(I91="","Eligible",IF(EDATE(I91,12*Lists!$E$7)&lt;=A91,"Eligible","Not eligible: prior claim"))))))</f>
        <v/>
      </c>
      <c r="K91" s="22"/>
      <c r="L91" s="22"/>
    </row>
    <row r="92" customFormat="false" ht="15" hidden="false" customHeight="false" outlineLevel="0" collapsed="false">
      <c r="A92" s="24"/>
      <c r="B92" s="22"/>
      <c r="C92" s="25" t="str">
        <f aca="false">IF(B92="","",IFERROR(INDEX(Employees!$B$5:$B$200,MATCH(B92,Employees!$A$5:$A$200,0)),"ID not found"))</f>
        <v/>
      </c>
      <c r="D92" s="25" t="str">
        <f aca="false">IF(B92="","",IFERROR(INDEX(Employees!$I$5:$I$200,MATCH(B92,Employees!$A$5:$A$200,0)),"not found"))</f>
        <v/>
      </c>
      <c r="E92" s="22"/>
      <c r="F92" s="34"/>
      <c r="G92" s="35" t="str">
        <f aca="false">IF(E92="","",IF(E92="E-bike",Lists!$E$6,Lists!$E$5))</f>
        <v/>
      </c>
      <c r="H92" s="25" t="str">
        <f aca="false">IF(OR(F92="",G92=""),"",IF(AND(F92&gt;0,F92&lt;=G92),"Yes","No - exceeds cap"))</f>
        <v/>
      </c>
      <c r="I92" s="24"/>
      <c r="J92" s="23" t="str">
        <f aca="false">IF(B92="","",IF(H92="","Incomplete",IF(D92&lt;&gt;"active","Not eligible: not active",IF(H92&lt;&gt;"Yes","Not eligible: cost",IF(I92="","Eligible",IF(EDATE(I92,12*Lists!$E$7)&lt;=A92,"Eligible","Not eligible: prior claim"))))))</f>
        <v/>
      </c>
      <c r="K92" s="22"/>
      <c r="L92" s="22"/>
    </row>
    <row r="93" customFormat="false" ht="15" hidden="false" customHeight="false" outlineLevel="0" collapsed="false">
      <c r="A93" s="24"/>
      <c r="B93" s="22"/>
      <c r="C93" s="25" t="str">
        <f aca="false">IF(B93="","",IFERROR(INDEX(Employees!$B$5:$B$200,MATCH(B93,Employees!$A$5:$A$200,0)),"ID not found"))</f>
        <v/>
      </c>
      <c r="D93" s="25" t="str">
        <f aca="false">IF(B93="","",IFERROR(INDEX(Employees!$I$5:$I$200,MATCH(B93,Employees!$A$5:$A$200,0)),"not found"))</f>
        <v/>
      </c>
      <c r="E93" s="22"/>
      <c r="F93" s="34"/>
      <c r="G93" s="35" t="str">
        <f aca="false">IF(E93="","",IF(E93="E-bike",Lists!$E$6,Lists!$E$5))</f>
        <v/>
      </c>
      <c r="H93" s="25" t="str">
        <f aca="false">IF(OR(F93="",G93=""),"",IF(AND(F93&gt;0,F93&lt;=G93),"Yes","No - exceeds cap"))</f>
        <v/>
      </c>
      <c r="I93" s="24"/>
      <c r="J93" s="23" t="str">
        <f aca="false">IF(B93="","",IF(H93="","Incomplete",IF(D93&lt;&gt;"active","Not eligible: not active",IF(H93&lt;&gt;"Yes","Not eligible: cost",IF(I93="","Eligible",IF(EDATE(I93,12*Lists!$E$7)&lt;=A93,"Eligible","Not eligible: prior claim"))))))</f>
        <v/>
      </c>
      <c r="K93" s="22"/>
      <c r="L93" s="22"/>
    </row>
    <row r="94" customFormat="false" ht="15" hidden="false" customHeight="false" outlineLevel="0" collapsed="false">
      <c r="A94" s="24"/>
      <c r="B94" s="22"/>
      <c r="C94" s="25" t="str">
        <f aca="false">IF(B94="","",IFERROR(INDEX(Employees!$B$5:$B$200,MATCH(B94,Employees!$A$5:$A$200,0)),"ID not found"))</f>
        <v/>
      </c>
      <c r="D94" s="25" t="str">
        <f aca="false">IF(B94="","",IFERROR(INDEX(Employees!$I$5:$I$200,MATCH(B94,Employees!$A$5:$A$200,0)),"not found"))</f>
        <v/>
      </c>
      <c r="E94" s="22"/>
      <c r="F94" s="34"/>
      <c r="G94" s="35" t="str">
        <f aca="false">IF(E94="","",IF(E94="E-bike",Lists!$E$6,Lists!$E$5))</f>
        <v/>
      </c>
      <c r="H94" s="25" t="str">
        <f aca="false">IF(OR(F94="",G94=""),"",IF(AND(F94&gt;0,F94&lt;=G94),"Yes","No - exceeds cap"))</f>
        <v/>
      </c>
      <c r="I94" s="24"/>
      <c r="J94" s="23" t="str">
        <f aca="false">IF(B94="","",IF(H94="","Incomplete",IF(D94&lt;&gt;"active","Not eligible: not active",IF(H94&lt;&gt;"Yes","Not eligible: cost",IF(I94="","Eligible",IF(EDATE(I94,12*Lists!$E$7)&lt;=A94,"Eligible","Not eligible: prior claim"))))))</f>
        <v/>
      </c>
      <c r="K94" s="22"/>
      <c r="L94" s="22"/>
    </row>
    <row r="95" customFormat="false" ht="15" hidden="false" customHeight="false" outlineLevel="0" collapsed="false">
      <c r="A95" s="24"/>
      <c r="B95" s="22"/>
      <c r="C95" s="25" t="str">
        <f aca="false">IF(B95="","",IFERROR(INDEX(Employees!$B$5:$B$200,MATCH(B95,Employees!$A$5:$A$200,0)),"ID not found"))</f>
        <v/>
      </c>
      <c r="D95" s="25" t="str">
        <f aca="false">IF(B95="","",IFERROR(INDEX(Employees!$I$5:$I$200,MATCH(B95,Employees!$A$5:$A$200,0)),"not found"))</f>
        <v/>
      </c>
      <c r="E95" s="22"/>
      <c r="F95" s="34"/>
      <c r="G95" s="35" t="str">
        <f aca="false">IF(E95="","",IF(E95="E-bike",Lists!$E$6,Lists!$E$5))</f>
        <v/>
      </c>
      <c r="H95" s="25" t="str">
        <f aca="false">IF(OR(F95="",G95=""),"",IF(AND(F95&gt;0,F95&lt;=G95),"Yes","No - exceeds cap"))</f>
        <v/>
      </c>
      <c r="I95" s="24"/>
      <c r="J95" s="23" t="str">
        <f aca="false">IF(B95="","",IF(H95="","Incomplete",IF(D95&lt;&gt;"active","Not eligible: not active",IF(H95&lt;&gt;"Yes","Not eligible: cost",IF(I95="","Eligible",IF(EDATE(I95,12*Lists!$E$7)&lt;=A95,"Eligible","Not eligible: prior claim"))))))</f>
        <v/>
      </c>
      <c r="K95" s="22"/>
      <c r="L95" s="22"/>
    </row>
    <row r="96" customFormat="false" ht="15" hidden="false" customHeight="false" outlineLevel="0" collapsed="false">
      <c r="A96" s="24"/>
      <c r="B96" s="22"/>
      <c r="C96" s="25" t="str">
        <f aca="false">IF(B96="","",IFERROR(INDEX(Employees!$B$5:$B$200,MATCH(B96,Employees!$A$5:$A$200,0)),"ID not found"))</f>
        <v/>
      </c>
      <c r="D96" s="25" t="str">
        <f aca="false">IF(B96="","",IFERROR(INDEX(Employees!$I$5:$I$200,MATCH(B96,Employees!$A$5:$A$200,0)),"not found"))</f>
        <v/>
      </c>
      <c r="E96" s="22"/>
      <c r="F96" s="34"/>
      <c r="G96" s="35" t="str">
        <f aca="false">IF(E96="","",IF(E96="E-bike",Lists!$E$6,Lists!$E$5))</f>
        <v/>
      </c>
      <c r="H96" s="25" t="str">
        <f aca="false">IF(OR(F96="",G96=""),"",IF(AND(F96&gt;0,F96&lt;=G96),"Yes","No - exceeds cap"))</f>
        <v/>
      </c>
      <c r="I96" s="24"/>
      <c r="J96" s="23" t="str">
        <f aca="false">IF(B96="","",IF(H96="","Incomplete",IF(D96&lt;&gt;"active","Not eligible: not active",IF(H96&lt;&gt;"Yes","Not eligible: cost",IF(I96="","Eligible",IF(EDATE(I96,12*Lists!$E$7)&lt;=A96,"Eligible","Not eligible: prior claim"))))))</f>
        <v/>
      </c>
      <c r="K96" s="22"/>
      <c r="L96" s="22"/>
    </row>
    <row r="97" customFormat="false" ht="15" hidden="false" customHeight="false" outlineLevel="0" collapsed="false">
      <c r="A97" s="24"/>
      <c r="B97" s="22"/>
      <c r="C97" s="25" t="str">
        <f aca="false">IF(B97="","",IFERROR(INDEX(Employees!$B$5:$B$200,MATCH(B97,Employees!$A$5:$A$200,0)),"ID not found"))</f>
        <v/>
      </c>
      <c r="D97" s="25" t="str">
        <f aca="false">IF(B97="","",IFERROR(INDEX(Employees!$I$5:$I$200,MATCH(B97,Employees!$A$5:$A$200,0)),"not found"))</f>
        <v/>
      </c>
      <c r="E97" s="22"/>
      <c r="F97" s="34"/>
      <c r="G97" s="35" t="str">
        <f aca="false">IF(E97="","",IF(E97="E-bike",Lists!$E$6,Lists!$E$5))</f>
        <v/>
      </c>
      <c r="H97" s="25" t="str">
        <f aca="false">IF(OR(F97="",G97=""),"",IF(AND(F97&gt;0,F97&lt;=G97),"Yes","No - exceeds cap"))</f>
        <v/>
      </c>
      <c r="I97" s="24"/>
      <c r="J97" s="23" t="str">
        <f aca="false">IF(B97="","",IF(H97="","Incomplete",IF(D97&lt;&gt;"active","Not eligible: not active",IF(H97&lt;&gt;"Yes","Not eligible: cost",IF(I97="","Eligible",IF(EDATE(I97,12*Lists!$E$7)&lt;=A97,"Eligible","Not eligible: prior claim"))))))</f>
        <v/>
      </c>
      <c r="K97" s="22"/>
      <c r="L97" s="22"/>
    </row>
    <row r="98" customFormat="false" ht="15" hidden="false" customHeight="false" outlineLevel="0" collapsed="false">
      <c r="A98" s="24"/>
      <c r="B98" s="22"/>
      <c r="C98" s="25" t="str">
        <f aca="false">IF(B98="","",IFERROR(INDEX(Employees!$B$5:$B$200,MATCH(B98,Employees!$A$5:$A$200,0)),"ID not found"))</f>
        <v/>
      </c>
      <c r="D98" s="25" t="str">
        <f aca="false">IF(B98="","",IFERROR(INDEX(Employees!$I$5:$I$200,MATCH(B98,Employees!$A$5:$A$200,0)),"not found"))</f>
        <v/>
      </c>
      <c r="E98" s="22"/>
      <c r="F98" s="34"/>
      <c r="G98" s="35" t="str">
        <f aca="false">IF(E98="","",IF(E98="E-bike",Lists!$E$6,Lists!$E$5))</f>
        <v/>
      </c>
      <c r="H98" s="25" t="str">
        <f aca="false">IF(OR(F98="",G98=""),"",IF(AND(F98&gt;0,F98&lt;=G98),"Yes","No - exceeds cap"))</f>
        <v/>
      </c>
      <c r="I98" s="24"/>
      <c r="J98" s="23" t="str">
        <f aca="false">IF(B98="","",IF(H98="","Incomplete",IF(D98&lt;&gt;"active","Not eligible: not active",IF(H98&lt;&gt;"Yes","Not eligible: cost",IF(I98="","Eligible",IF(EDATE(I98,12*Lists!$E$7)&lt;=A98,"Eligible","Not eligible: prior claim"))))))</f>
        <v/>
      </c>
      <c r="K98" s="22"/>
      <c r="L98" s="22"/>
    </row>
    <row r="99" customFormat="false" ht="15" hidden="false" customHeight="false" outlineLevel="0" collapsed="false">
      <c r="A99" s="24"/>
      <c r="B99" s="22"/>
      <c r="C99" s="25" t="str">
        <f aca="false">IF(B99="","",IFERROR(INDEX(Employees!$B$5:$B$200,MATCH(B99,Employees!$A$5:$A$200,0)),"ID not found"))</f>
        <v/>
      </c>
      <c r="D99" s="25" t="str">
        <f aca="false">IF(B99="","",IFERROR(INDEX(Employees!$I$5:$I$200,MATCH(B99,Employees!$A$5:$A$200,0)),"not found"))</f>
        <v/>
      </c>
      <c r="E99" s="22"/>
      <c r="F99" s="34"/>
      <c r="G99" s="35" t="str">
        <f aca="false">IF(E99="","",IF(E99="E-bike",Lists!$E$6,Lists!$E$5))</f>
        <v/>
      </c>
      <c r="H99" s="25" t="str">
        <f aca="false">IF(OR(F99="",G99=""),"",IF(AND(F99&gt;0,F99&lt;=G99),"Yes","No - exceeds cap"))</f>
        <v/>
      </c>
      <c r="I99" s="24"/>
      <c r="J99" s="23" t="str">
        <f aca="false">IF(B99="","",IF(H99="","Incomplete",IF(D99&lt;&gt;"active","Not eligible: not active",IF(H99&lt;&gt;"Yes","Not eligible: cost",IF(I99="","Eligible",IF(EDATE(I99,12*Lists!$E$7)&lt;=A99,"Eligible","Not eligible: prior claim"))))))</f>
        <v/>
      </c>
      <c r="K99" s="22"/>
      <c r="L99" s="22"/>
    </row>
    <row r="100" customFormat="false" ht="15" hidden="false" customHeight="false" outlineLevel="0" collapsed="false">
      <c r="A100" s="24"/>
      <c r="B100" s="22"/>
      <c r="C100" s="25" t="str">
        <f aca="false">IF(B100="","",IFERROR(INDEX(Employees!$B$5:$B$200,MATCH(B100,Employees!$A$5:$A$200,0)),"ID not found"))</f>
        <v/>
      </c>
      <c r="D100" s="25" t="str">
        <f aca="false">IF(B100="","",IFERROR(INDEX(Employees!$I$5:$I$200,MATCH(B100,Employees!$A$5:$A$200,0)),"not found"))</f>
        <v/>
      </c>
      <c r="E100" s="22"/>
      <c r="F100" s="34"/>
      <c r="G100" s="35" t="str">
        <f aca="false">IF(E100="","",IF(E100="E-bike",Lists!$E$6,Lists!$E$5))</f>
        <v/>
      </c>
      <c r="H100" s="25" t="str">
        <f aca="false">IF(OR(F100="",G100=""),"",IF(AND(F100&gt;0,F100&lt;=G100),"Yes","No - exceeds cap"))</f>
        <v/>
      </c>
      <c r="I100" s="24"/>
      <c r="J100" s="23" t="str">
        <f aca="false">IF(B100="","",IF(H100="","Incomplete",IF(D100&lt;&gt;"active","Not eligible: not active",IF(H100&lt;&gt;"Yes","Not eligible: cost",IF(I100="","Eligible",IF(EDATE(I100,12*Lists!$E$7)&lt;=A100,"Eligible","Not eligible: prior claim"))))))</f>
        <v/>
      </c>
      <c r="K100" s="22"/>
      <c r="L100" s="22"/>
    </row>
    <row r="101" customFormat="false" ht="15" hidden="false" customHeight="false" outlineLevel="0" collapsed="false">
      <c r="A101" s="24"/>
      <c r="B101" s="22"/>
      <c r="C101" s="25" t="str">
        <f aca="false">IF(B101="","",IFERROR(INDEX(Employees!$B$5:$B$200,MATCH(B101,Employees!$A$5:$A$200,0)),"ID not found"))</f>
        <v/>
      </c>
      <c r="D101" s="25" t="str">
        <f aca="false">IF(B101="","",IFERROR(INDEX(Employees!$I$5:$I$200,MATCH(B101,Employees!$A$5:$A$200,0)),"not found"))</f>
        <v/>
      </c>
      <c r="E101" s="22"/>
      <c r="F101" s="34"/>
      <c r="G101" s="35" t="str">
        <f aca="false">IF(E101="","",IF(E101="E-bike",Lists!$E$6,Lists!$E$5))</f>
        <v/>
      </c>
      <c r="H101" s="25" t="str">
        <f aca="false">IF(OR(F101="",G101=""),"",IF(AND(F101&gt;0,F101&lt;=G101),"Yes","No - exceeds cap"))</f>
        <v/>
      </c>
      <c r="I101" s="24"/>
      <c r="J101" s="23" t="str">
        <f aca="false">IF(B101="","",IF(H101="","Incomplete",IF(D101&lt;&gt;"active","Not eligible: not active",IF(H101&lt;&gt;"Yes","Not eligible: cost",IF(I101="","Eligible",IF(EDATE(I101,12*Lists!$E$7)&lt;=A101,"Eligible","Not eligible: prior claim"))))))</f>
        <v/>
      </c>
      <c r="K101" s="22"/>
      <c r="L101" s="22"/>
    </row>
    <row r="102" customFormat="false" ht="15" hidden="false" customHeight="false" outlineLevel="0" collapsed="false">
      <c r="A102" s="24"/>
      <c r="B102" s="22"/>
      <c r="C102" s="25" t="str">
        <f aca="false">IF(B102="","",IFERROR(INDEX(Employees!$B$5:$B$200,MATCH(B102,Employees!$A$5:$A$200,0)),"ID not found"))</f>
        <v/>
      </c>
      <c r="D102" s="25" t="str">
        <f aca="false">IF(B102="","",IFERROR(INDEX(Employees!$I$5:$I$200,MATCH(B102,Employees!$A$5:$A$200,0)),"not found"))</f>
        <v/>
      </c>
      <c r="E102" s="22"/>
      <c r="F102" s="34"/>
      <c r="G102" s="35" t="str">
        <f aca="false">IF(E102="","",IF(E102="E-bike",Lists!$E$6,Lists!$E$5))</f>
        <v/>
      </c>
      <c r="H102" s="25" t="str">
        <f aca="false">IF(OR(F102="",G102=""),"",IF(AND(F102&gt;0,F102&lt;=G102),"Yes","No - exceeds cap"))</f>
        <v/>
      </c>
      <c r="I102" s="24"/>
      <c r="J102" s="23" t="str">
        <f aca="false">IF(B102="","",IF(H102="","Incomplete",IF(D102&lt;&gt;"active","Not eligible: not active",IF(H102&lt;&gt;"Yes","Not eligible: cost",IF(I102="","Eligible",IF(EDATE(I102,12*Lists!$E$7)&lt;=A102,"Eligible","Not eligible: prior claim"))))))</f>
        <v/>
      </c>
      <c r="K102" s="22"/>
      <c r="L102" s="22"/>
    </row>
    <row r="103" customFormat="false" ht="15" hidden="false" customHeight="false" outlineLevel="0" collapsed="false">
      <c r="A103" s="24"/>
      <c r="B103" s="22"/>
      <c r="C103" s="25" t="str">
        <f aca="false">IF(B103="","",IFERROR(INDEX(Employees!$B$5:$B$200,MATCH(B103,Employees!$A$5:$A$200,0)),"ID not found"))</f>
        <v/>
      </c>
      <c r="D103" s="25" t="str">
        <f aca="false">IF(B103="","",IFERROR(INDEX(Employees!$I$5:$I$200,MATCH(B103,Employees!$A$5:$A$200,0)),"not found"))</f>
        <v/>
      </c>
      <c r="E103" s="22"/>
      <c r="F103" s="34"/>
      <c r="G103" s="35" t="str">
        <f aca="false">IF(E103="","",IF(E103="E-bike",Lists!$E$6,Lists!$E$5))</f>
        <v/>
      </c>
      <c r="H103" s="25" t="str">
        <f aca="false">IF(OR(F103="",G103=""),"",IF(AND(F103&gt;0,F103&lt;=G103),"Yes","No - exceeds cap"))</f>
        <v/>
      </c>
      <c r="I103" s="24"/>
      <c r="J103" s="23" t="str">
        <f aca="false">IF(B103="","",IF(H103="","Incomplete",IF(D103&lt;&gt;"active","Not eligible: not active",IF(H103&lt;&gt;"Yes","Not eligible: cost",IF(I103="","Eligible",IF(EDATE(I103,12*Lists!$E$7)&lt;=A103,"Eligible","Not eligible: prior claim"))))))</f>
        <v/>
      </c>
      <c r="K103" s="22"/>
      <c r="L103" s="22"/>
    </row>
    <row r="104" customFormat="false" ht="15" hidden="false" customHeight="false" outlineLevel="0" collapsed="false">
      <c r="A104" s="24"/>
      <c r="B104" s="22"/>
      <c r="C104" s="25" t="str">
        <f aca="false">IF(B104="","",IFERROR(INDEX(Employees!$B$5:$B$200,MATCH(B104,Employees!$A$5:$A$200,0)),"ID not found"))</f>
        <v/>
      </c>
      <c r="D104" s="25" t="str">
        <f aca="false">IF(B104="","",IFERROR(INDEX(Employees!$I$5:$I$200,MATCH(B104,Employees!$A$5:$A$200,0)),"not found"))</f>
        <v/>
      </c>
      <c r="E104" s="22"/>
      <c r="F104" s="34"/>
      <c r="G104" s="35" t="str">
        <f aca="false">IF(E104="","",IF(E104="E-bike",Lists!$E$6,Lists!$E$5))</f>
        <v/>
      </c>
      <c r="H104" s="25" t="str">
        <f aca="false">IF(OR(F104="",G104=""),"",IF(AND(F104&gt;0,F104&lt;=G104),"Yes","No - exceeds cap"))</f>
        <v/>
      </c>
      <c r="I104" s="24"/>
      <c r="J104" s="23" t="str">
        <f aca="false">IF(B104="","",IF(H104="","Incomplete",IF(D104&lt;&gt;"active","Not eligible: not active",IF(H104&lt;&gt;"Yes","Not eligible: cost",IF(I104="","Eligible",IF(EDATE(I104,12*Lists!$E$7)&lt;=A104,"Eligible","Not eligible: prior claim"))))))</f>
        <v/>
      </c>
      <c r="K104" s="22"/>
      <c r="L104" s="22"/>
    </row>
  </sheetData>
  <conditionalFormatting sqref="J5:J104">
    <cfRule type="expression" priority="2" aboveAverage="0" equalAverage="0" bottom="0" percent="0" rank="0" text="" dxfId="12">
      <formula>ISNUMBER(SEARCH("Not eligible",J5))</formula>
    </cfRule>
    <cfRule type="expression" priority="3" aboveAverage="0" equalAverage="0" bottom="0" percent="0" rank="0" text="" dxfId="14">
      <formula>ISNUMBER(SEARCH("Incomplete",J5))</formula>
    </cfRule>
    <cfRule type="expression" priority="4" aboveAverage="0" equalAverage="0" bottom="0" percent="0" rank="0" text="" dxfId="13">
      <formula>ISNUMBER(SEARCH("Eligible",J5))</formula>
    </cfRule>
  </conditionalFormatting>
  <dataValidations count="4">
    <dataValidation allowBlank="true" error="Enter a valid date" errorStyle="stop" operator="greaterThan" showDropDown="false" showErrorMessage="true" showInputMessage="false" sqref="A5:A104 I5:I104" type="date">
      <formula1>43831</formula1>
      <formula2>0</formula2>
    </dataValidation>
    <dataValidation allowBlank="true" errorStyle="stop" operator="between" showDropDown="false" showErrorMessage="true" showInputMessage="false" sqref="B5:B104" type="list">
      <formula1>Employees!$A$5:$A$200</formula1>
      <formula2>0</formula2>
    </dataValidation>
    <dataValidation allowBlank="true" errorStyle="stop" operator="between" showDropDown="false" showErrorMessage="true" showInputMessage="false" sqref="E5:E104" type="list">
      <formula1>Lists!$R$4:$R$5</formula1>
      <formula2>0</formula2>
    </dataValidation>
    <dataValidation allowBlank="true" errorStyle="stop" operator="between" showDropDown="false" showErrorMessage="true" showInputMessage="false" sqref="K5:K104" type="list">
      <formula1>Lists!$P$4:$P$7</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K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20"/>
    <col collapsed="false" customWidth="true" hidden="false" outlineLevel="0" max="4" min="4" style="0" width="10"/>
    <col collapsed="false" customWidth="true" hidden="false" outlineLevel="0" max="5" min="5" style="0" width="14"/>
    <col collapsed="false" customWidth="true" hidden="false" outlineLevel="0" max="6" min="6" style="0" width="16"/>
    <col collapsed="false" customWidth="true" hidden="false" outlineLevel="0" max="7" min="7" style="0" width="30"/>
    <col collapsed="false" customWidth="true" hidden="false" outlineLevel="0" max="8" min="8" style="0" width="20"/>
    <col collapsed="false" customWidth="true" hidden="false" outlineLevel="0" max="9" min="9" style="0" width="14"/>
    <col collapsed="false" customWidth="true" hidden="false" outlineLevel="0" max="10" min="10" style="0" width="12"/>
    <col collapsed="false" customWidth="true" hidden="false" outlineLevel="0" max="11" min="11" style="0" width="30"/>
  </cols>
  <sheetData>
    <row r="1" customFormat="false" ht="19.7" hidden="false" customHeight="false" outlineLevel="0" collapsed="false">
      <c r="A1" s="1" t="s">
        <v>179</v>
      </c>
    </row>
    <row r="2" customFormat="false" ht="15" hidden="false" customHeight="false" outlineLevel="0" collapsed="false">
      <c r="A2" s="2" t="s">
        <v>180</v>
      </c>
    </row>
    <row r="4" customFormat="false" ht="31.5" hidden="false" customHeight="true" outlineLevel="0" collapsed="false">
      <c r="A4" s="11" t="s">
        <v>152</v>
      </c>
      <c r="B4" s="11" t="s">
        <v>79</v>
      </c>
      <c r="C4" s="11" t="s">
        <v>80</v>
      </c>
      <c r="D4" s="11" t="s">
        <v>181</v>
      </c>
      <c r="E4" s="11" t="s">
        <v>166</v>
      </c>
      <c r="F4" s="11" t="s">
        <v>182</v>
      </c>
      <c r="G4" s="11" t="s">
        <v>172</v>
      </c>
      <c r="H4" s="11" t="s">
        <v>183</v>
      </c>
      <c r="I4" s="11" t="s">
        <v>184</v>
      </c>
      <c r="J4" s="11" t="s">
        <v>86</v>
      </c>
      <c r="K4" s="11" t="s">
        <v>173</v>
      </c>
    </row>
    <row r="5" customFormat="false" ht="15" hidden="false" customHeight="false" outlineLevel="0" collapsed="false">
      <c r="A5" s="24" t="n">
        <v>46289</v>
      </c>
      <c r="B5" s="22" t="s">
        <v>93</v>
      </c>
      <c r="C5" s="25" t="str">
        <f aca="false">IF(B5="","",IFERROR(INDEX(Employees!$B$5:$B$200,MATCH(B5,Employees!$A$5:$A$200,0)),"ID not found"))</f>
        <v>Aoife Murphy</v>
      </c>
      <c r="D5" s="25" t="str">
        <f aca="false">IF(B5="","",IFERROR(INDEX(Employees!$K$5:$K$200,MATCH(B5,Employees!$A$5:$A$200,0)),"not found"))</f>
        <v>Yes</v>
      </c>
      <c r="E5" s="25" t="str">
        <f aca="false">IF(B5="","",IFERROR(INDEX(Employees!$I$5:$I$200,MATCH(B5,Employees!$A$5:$A$200,0)),"not found"))</f>
        <v>active</v>
      </c>
      <c r="F5" s="24"/>
      <c r="G5" s="23" t="str">
        <f aca="false">IF(B5="","",IF(E5&lt;&gt;"active","Not eligible: not active",IF(D5&lt;&gt;"Yes","Not eligible: not VDU user",IF(F5="","Eligible",IF(EDATE(F5,Lists!$E$8)&lt;=A5,"Eligible","Not eligible: within gap period")))))</f>
        <v>Eligible</v>
      </c>
      <c r="H5" s="22" t="s">
        <v>185</v>
      </c>
      <c r="I5" s="26" t="n">
        <f aca="false">IF(OR(A5="",G5&lt;&gt;"Eligible"),"",A5+Lists!$E$9)</f>
        <v>46379</v>
      </c>
      <c r="J5" s="22" t="s">
        <v>161</v>
      </c>
      <c r="K5" s="22" t="s">
        <v>176</v>
      </c>
    </row>
    <row r="6" customFormat="false" ht="15" hidden="false" customHeight="false" outlineLevel="0" collapsed="false">
      <c r="A6" s="24" t="n">
        <v>46295</v>
      </c>
      <c r="B6" s="22" t="s">
        <v>127</v>
      </c>
      <c r="C6" s="25" t="str">
        <f aca="false">IF(B6="","",IFERROR(INDEX(Employees!$B$5:$B$200,MATCH(B6,Employees!$A$5:$A$200,0)),"ID not found"))</f>
        <v>Emma Ryan</v>
      </c>
      <c r="D6" s="25" t="str">
        <f aca="false">IF(B6="","",IFERROR(INDEX(Employees!$K$5:$K$200,MATCH(B6,Employees!$A$5:$A$200,0)),"not found"))</f>
        <v>No</v>
      </c>
      <c r="E6" s="25" t="str">
        <f aca="false">IF(B6="","",IFERROR(INDEX(Employees!$I$5:$I$200,MATCH(B6,Employees!$A$5:$A$200,0)),"not found"))</f>
        <v>active</v>
      </c>
      <c r="F6" s="24"/>
      <c r="G6" s="23" t="str">
        <f aca="false">IF(B6="","",IF(E6&lt;&gt;"active","Not eligible: not active",IF(D6&lt;&gt;"Yes","Not eligible: not VDU user",IF(F6="","Eligible",IF(EDATE(F6,Lists!$E$8)&lt;=A6,"Eligible","Not eligible: within gap period")))))</f>
        <v>Not eligible: not VDU user</v>
      </c>
      <c r="H6" s="22"/>
      <c r="I6" s="26" t="str">
        <f aca="false">IF(OR(A6="",G6&lt;&gt;"Eligible"),"",A6+Lists!$E$9)</f>
        <v/>
      </c>
      <c r="J6" s="22" t="s">
        <v>162</v>
      </c>
      <c r="K6" s="22" t="s">
        <v>186</v>
      </c>
    </row>
    <row r="7" customFormat="false" ht="15" hidden="false" customHeight="false" outlineLevel="0" collapsed="false">
      <c r="A7" s="24"/>
      <c r="B7" s="22"/>
      <c r="C7" s="25" t="str">
        <f aca="false">IF(B7="","",IFERROR(INDEX(Employees!$B$5:$B$200,MATCH(B7,Employees!$A$5:$A$200,0)),"ID not found"))</f>
        <v/>
      </c>
      <c r="D7" s="25" t="str">
        <f aca="false">IF(B7="","",IFERROR(INDEX(Employees!$K$5:$K$200,MATCH(B7,Employees!$A$5:$A$200,0)),"not found"))</f>
        <v/>
      </c>
      <c r="E7" s="25" t="str">
        <f aca="false">IF(B7="","",IFERROR(INDEX(Employees!$I$5:$I$200,MATCH(B7,Employees!$A$5:$A$200,0)),"not found"))</f>
        <v/>
      </c>
      <c r="F7" s="24"/>
      <c r="G7" s="23" t="str">
        <f aca="false">IF(B7="","",IF(E7&lt;&gt;"active","Not eligible: not active",IF(D7&lt;&gt;"Yes","Not eligible: not VDU user",IF(F7="","Eligible",IF(EDATE(F7,Lists!$E$8)&lt;=A7,"Eligible","Not eligible: within gap period")))))</f>
        <v/>
      </c>
      <c r="H7" s="22"/>
      <c r="I7" s="26" t="str">
        <f aca="false">IF(OR(A7="",G7&lt;&gt;"Eligible"),"",A7+Lists!$E$9)</f>
        <v/>
      </c>
      <c r="J7" s="22"/>
      <c r="K7" s="22"/>
    </row>
    <row r="8" customFormat="false" ht="15" hidden="false" customHeight="false" outlineLevel="0" collapsed="false">
      <c r="A8" s="24"/>
      <c r="B8" s="22"/>
      <c r="C8" s="25" t="str">
        <f aca="false">IF(B8="","",IFERROR(INDEX(Employees!$B$5:$B$200,MATCH(B8,Employees!$A$5:$A$200,0)),"ID not found"))</f>
        <v/>
      </c>
      <c r="D8" s="25" t="str">
        <f aca="false">IF(B8="","",IFERROR(INDEX(Employees!$K$5:$K$200,MATCH(B8,Employees!$A$5:$A$200,0)),"not found"))</f>
        <v/>
      </c>
      <c r="E8" s="25" t="str">
        <f aca="false">IF(B8="","",IFERROR(INDEX(Employees!$I$5:$I$200,MATCH(B8,Employees!$A$5:$A$200,0)),"not found"))</f>
        <v/>
      </c>
      <c r="F8" s="24"/>
      <c r="G8" s="23" t="str">
        <f aca="false">IF(B8="","",IF(E8&lt;&gt;"active","Not eligible: not active",IF(D8&lt;&gt;"Yes","Not eligible: not VDU user",IF(F8="","Eligible",IF(EDATE(F8,Lists!$E$8)&lt;=A8,"Eligible","Not eligible: within gap period")))))</f>
        <v/>
      </c>
      <c r="H8" s="22"/>
      <c r="I8" s="26" t="str">
        <f aca="false">IF(OR(A8="",G8&lt;&gt;"Eligible"),"",A8+Lists!$E$9)</f>
        <v/>
      </c>
      <c r="J8" s="22"/>
      <c r="K8" s="22"/>
    </row>
    <row r="9" customFormat="false" ht="15" hidden="false" customHeight="false" outlineLevel="0" collapsed="false">
      <c r="A9" s="24"/>
      <c r="B9" s="22"/>
      <c r="C9" s="25" t="str">
        <f aca="false">IF(B9="","",IFERROR(INDEX(Employees!$B$5:$B$200,MATCH(B9,Employees!$A$5:$A$200,0)),"ID not found"))</f>
        <v/>
      </c>
      <c r="D9" s="25" t="str">
        <f aca="false">IF(B9="","",IFERROR(INDEX(Employees!$K$5:$K$200,MATCH(B9,Employees!$A$5:$A$200,0)),"not found"))</f>
        <v/>
      </c>
      <c r="E9" s="25" t="str">
        <f aca="false">IF(B9="","",IFERROR(INDEX(Employees!$I$5:$I$200,MATCH(B9,Employees!$A$5:$A$200,0)),"not found"))</f>
        <v/>
      </c>
      <c r="F9" s="24"/>
      <c r="G9" s="23" t="str">
        <f aca="false">IF(B9="","",IF(E9&lt;&gt;"active","Not eligible: not active",IF(D9&lt;&gt;"Yes","Not eligible: not VDU user",IF(F9="","Eligible",IF(EDATE(F9,Lists!$E$8)&lt;=A9,"Eligible","Not eligible: within gap period")))))</f>
        <v/>
      </c>
      <c r="H9" s="22"/>
      <c r="I9" s="26" t="str">
        <f aca="false">IF(OR(A9="",G9&lt;&gt;"Eligible"),"",A9+Lists!$E$9)</f>
        <v/>
      </c>
      <c r="J9" s="22"/>
      <c r="K9" s="22"/>
    </row>
    <row r="10" customFormat="false" ht="15" hidden="false" customHeight="false" outlineLevel="0" collapsed="false">
      <c r="A10" s="24"/>
      <c r="B10" s="22"/>
      <c r="C10" s="25" t="str">
        <f aca="false">IF(B10="","",IFERROR(INDEX(Employees!$B$5:$B$200,MATCH(B10,Employees!$A$5:$A$200,0)),"ID not found"))</f>
        <v/>
      </c>
      <c r="D10" s="25" t="str">
        <f aca="false">IF(B10="","",IFERROR(INDEX(Employees!$K$5:$K$200,MATCH(B10,Employees!$A$5:$A$200,0)),"not found"))</f>
        <v/>
      </c>
      <c r="E10" s="25" t="str">
        <f aca="false">IF(B10="","",IFERROR(INDEX(Employees!$I$5:$I$200,MATCH(B10,Employees!$A$5:$A$200,0)),"not found"))</f>
        <v/>
      </c>
      <c r="F10" s="24"/>
      <c r="G10" s="23" t="str">
        <f aca="false">IF(B10="","",IF(E10&lt;&gt;"active","Not eligible: not active",IF(D10&lt;&gt;"Yes","Not eligible: not VDU user",IF(F10="","Eligible",IF(EDATE(F10,Lists!$E$8)&lt;=A10,"Eligible","Not eligible: within gap period")))))</f>
        <v/>
      </c>
      <c r="H10" s="22"/>
      <c r="I10" s="26" t="str">
        <f aca="false">IF(OR(A10="",G10&lt;&gt;"Eligible"),"",A10+Lists!$E$9)</f>
        <v/>
      </c>
      <c r="J10" s="22"/>
      <c r="K10" s="22"/>
    </row>
    <row r="11" customFormat="false" ht="15" hidden="false" customHeight="false" outlineLevel="0" collapsed="false">
      <c r="A11" s="24"/>
      <c r="B11" s="22"/>
      <c r="C11" s="25" t="str">
        <f aca="false">IF(B11="","",IFERROR(INDEX(Employees!$B$5:$B$200,MATCH(B11,Employees!$A$5:$A$200,0)),"ID not found"))</f>
        <v/>
      </c>
      <c r="D11" s="25" t="str">
        <f aca="false">IF(B11="","",IFERROR(INDEX(Employees!$K$5:$K$200,MATCH(B11,Employees!$A$5:$A$200,0)),"not found"))</f>
        <v/>
      </c>
      <c r="E11" s="25" t="str">
        <f aca="false">IF(B11="","",IFERROR(INDEX(Employees!$I$5:$I$200,MATCH(B11,Employees!$A$5:$A$200,0)),"not found"))</f>
        <v/>
      </c>
      <c r="F11" s="24"/>
      <c r="G11" s="23" t="str">
        <f aca="false">IF(B11="","",IF(E11&lt;&gt;"active","Not eligible: not active",IF(D11&lt;&gt;"Yes","Not eligible: not VDU user",IF(F11="","Eligible",IF(EDATE(F11,Lists!$E$8)&lt;=A11,"Eligible","Not eligible: within gap period")))))</f>
        <v/>
      </c>
      <c r="H11" s="22"/>
      <c r="I11" s="26" t="str">
        <f aca="false">IF(OR(A11="",G11&lt;&gt;"Eligible"),"",A11+Lists!$E$9)</f>
        <v/>
      </c>
      <c r="J11" s="22"/>
      <c r="K11" s="22"/>
    </row>
    <row r="12" customFormat="false" ht="15" hidden="false" customHeight="false" outlineLevel="0" collapsed="false">
      <c r="A12" s="24"/>
      <c r="B12" s="22"/>
      <c r="C12" s="25" t="str">
        <f aca="false">IF(B12="","",IFERROR(INDEX(Employees!$B$5:$B$200,MATCH(B12,Employees!$A$5:$A$200,0)),"ID not found"))</f>
        <v/>
      </c>
      <c r="D12" s="25" t="str">
        <f aca="false">IF(B12="","",IFERROR(INDEX(Employees!$K$5:$K$200,MATCH(B12,Employees!$A$5:$A$200,0)),"not found"))</f>
        <v/>
      </c>
      <c r="E12" s="25" t="str">
        <f aca="false">IF(B12="","",IFERROR(INDEX(Employees!$I$5:$I$200,MATCH(B12,Employees!$A$5:$A$200,0)),"not found"))</f>
        <v/>
      </c>
      <c r="F12" s="24"/>
      <c r="G12" s="23" t="str">
        <f aca="false">IF(B12="","",IF(E12&lt;&gt;"active","Not eligible: not active",IF(D12&lt;&gt;"Yes","Not eligible: not VDU user",IF(F12="","Eligible",IF(EDATE(F12,Lists!$E$8)&lt;=A12,"Eligible","Not eligible: within gap period")))))</f>
        <v/>
      </c>
      <c r="H12" s="22"/>
      <c r="I12" s="26" t="str">
        <f aca="false">IF(OR(A12="",G12&lt;&gt;"Eligible"),"",A12+Lists!$E$9)</f>
        <v/>
      </c>
      <c r="J12" s="22"/>
      <c r="K12" s="22"/>
    </row>
    <row r="13" customFormat="false" ht="15" hidden="false" customHeight="false" outlineLevel="0" collapsed="false">
      <c r="A13" s="24"/>
      <c r="B13" s="22"/>
      <c r="C13" s="25" t="str">
        <f aca="false">IF(B13="","",IFERROR(INDEX(Employees!$B$5:$B$200,MATCH(B13,Employees!$A$5:$A$200,0)),"ID not found"))</f>
        <v/>
      </c>
      <c r="D13" s="25" t="str">
        <f aca="false">IF(B13="","",IFERROR(INDEX(Employees!$K$5:$K$200,MATCH(B13,Employees!$A$5:$A$200,0)),"not found"))</f>
        <v/>
      </c>
      <c r="E13" s="25" t="str">
        <f aca="false">IF(B13="","",IFERROR(INDEX(Employees!$I$5:$I$200,MATCH(B13,Employees!$A$5:$A$200,0)),"not found"))</f>
        <v/>
      </c>
      <c r="F13" s="24"/>
      <c r="G13" s="23" t="str">
        <f aca="false">IF(B13="","",IF(E13&lt;&gt;"active","Not eligible: not active",IF(D13&lt;&gt;"Yes","Not eligible: not VDU user",IF(F13="","Eligible",IF(EDATE(F13,Lists!$E$8)&lt;=A13,"Eligible","Not eligible: within gap period")))))</f>
        <v/>
      </c>
      <c r="H13" s="22"/>
      <c r="I13" s="26" t="str">
        <f aca="false">IF(OR(A13="",G13&lt;&gt;"Eligible"),"",A13+Lists!$E$9)</f>
        <v/>
      </c>
      <c r="J13" s="22"/>
      <c r="K13" s="22"/>
    </row>
    <row r="14" customFormat="false" ht="15" hidden="false" customHeight="false" outlineLevel="0" collapsed="false">
      <c r="A14" s="24"/>
      <c r="B14" s="22"/>
      <c r="C14" s="25" t="str">
        <f aca="false">IF(B14="","",IFERROR(INDEX(Employees!$B$5:$B$200,MATCH(B14,Employees!$A$5:$A$200,0)),"ID not found"))</f>
        <v/>
      </c>
      <c r="D14" s="25" t="str">
        <f aca="false">IF(B14="","",IFERROR(INDEX(Employees!$K$5:$K$200,MATCH(B14,Employees!$A$5:$A$200,0)),"not found"))</f>
        <v/>
      </c>
      <c r="E14" s="25" t="str">
        <f aca="false">IF(B14="","",IFERROR(INDEX(Employees!$I$5:$I$200,MATCH(B14,Employees!$A$5:$A$200,0)),"not found"))</f>
        <v/>
      </c>
      <c r="F14" s="24"/>
      <c r="G14" s="23" t="str">
        <f aca="false">IF(B14="","",IF(E14&lt;&gt;"active","Not eligible: not active",IF(D14&lt;&gt;"Yes","Not eligible: not VDU user",IF(F14="","Eligible",IF(EDATE(F14,Lists!$E$8)&lt;=A14,"Eligible","Not eligible: within gap period")))))</f>
        <v/>
      </c>
      <c r="H14" s="22"/>
      <c r="I14" s="26" t="str">
        <f aca="false">IF(OR(A14="",G14&lt;&gt;"Eligible"),"",A14+Lists!$E$9)</f>
        <v/>
      </c>
      <c r="J14" s="22"/>
      <c r="K14" s="22"/>
    </row>
    <row r="15" customFormat="false" ht="15" hidden="false" customHeight="false" outlineLevel="0" collapsed="false">
      <c r="A15" s="24"/>
      <c r="B15" s="22"/>
      <c r="C15" s="25" t="str">
        <f aca="false">IF(B15="","",IFERROR(INDEX(Employees!$B$5:$B$200,MATCH(B15,Employees!$A$5:$A$200,0)),"ID not found"))</f>
        <v/>
      </c>
      <c r="D15" s="25" t="str">
        <f aca="false">IF(B15="","",IFERROR(INDEX(Employees!$K$5:$K$200,MATCH(B15,Employees!$A$5:$A$200,0)),"not found"))</f>
        <v/>
      </c>
      <c r="E15" s="25" t="str">
        <f aca="false">IF(B15="","",IFERROR(INDEX(Employees!$I$5:$I$200,MATCH(B15,Employees!$A$5:$A$200,0)),"not found"))</f>
        <v/>
      </c>
      <c r="F15" s="24"/>
      <c r="G15" s="23" t="str">
        <f aca="false">IF(B15="","",IF(E15&lt;&gt;"active","Not eligible: not active",IF(D15&lt;&gt;"Yes","Not eligible: not VDU user",IF(F15="","Eligible",IF(EDATE(F15,Lists!$E$8)&lt;=A15,"Eligible","Not eligible: within gap period")))))</f>
        <v/>
      </c>
      <c r="H15" s="22"/>
      <c r="I15" s="26" t="str">
        <f aca="false">IF(OR(A15="",G15&lt;&gt;"Eligible"),"",A15+Lists!$E$9)</f>
        <v/>
      </c>
      <c r="J15" s="22"/>
      <c r="K15" s="22"/>
    </row>
    <row r="16" customFormat="false" ht="15" hidden="false" customHeight="false" outlineLevel="0" collapsed="false">
      <c r="A16" s="24"/>
      <c r="B16" s="22"/>
      <c r="C16" s="25" t="str">
        <f aca="false">IF(B16="","",IFERROR(INDEX(Employees!$B$5:$B$200,MATCH(B16,Employees!$A$5:$A$200,0)),"ID not found"))</f>
        <v/>
      </c>
      <c r="D16" s="25" t="str">
        <f aca="false">IF(B16="","",IFERROR(INDEX(Employees!$K$5:$K$200,MATCH(B16,Employees!$A$5:$A$200,0)),"not found"))</f>
        <v/>
      </c>
      <c r="E16" s="25" t="str">
        <f aca="false">IF(B16="","",IFERROR(INDEX(Employees!$I$5:$I$200,MATCH(B16,Employees!$A$5:$A$200,0)),"not found"))</f>
        <v/>
      </c>
      <c r="F16" s="24"/>
      <c r="G16" s="23" t="str">
        <f aca="false">IF(B16="","",IF(E16&lt;&gt;"active","Not eligible: not active",IF(D16&lt;&gt;"Yes","Not eligible: not VDU user",IF(F16="","Eligible",IF(EDATE(F16,Lists!$E$8)&lt;=A16,"Eligible","Not eligible: within gap period")))))</f>
        <v/>
      </c>
      <c r="H16" s="22"/>
      <c r="I16" s="26" t="str">
        <f aca="false">IF(OR(A16="",G16&lt;&gt;"Eligible"),"",A16+Lists!$E$9)</f>
        <v/>
      </c>
      <c r="J16" s="22"/>
      <c r="K16" s="22"/>
    </row>
    <row r="17" customFormat="false" ht="15" hidden="false" customHeight="false" outlineLevel="0" collapsed="false">
      <c r="A17" s="24"/>
      <c r="B17" s="22"/>
      <c r="C17" s="25" t="str">
        <f aca="false">IF(B17="","",IFERROR(INDEX(Employees!$B$5:$B$200,MATCH(B17,Employees!$A$5:$A$200,0)),"ID not found"))</f>
        <v/>
      </c>
      <c r="D17" s="25" t="str">
        <f aca="false">IF(B17="","",IFERROR(INDEX(Employees!$K$5:$K$200,MATCH(B17,Employees!$A$5:$A$200,0)),"not found"))</f>
        <v/>
      </c>
      <c r="E17" s="25" t="str">
        <f aca="false">IF(B17="","",IFERROR(INDEX(Employees!$I$5:$I$200,MATCH(B17,Employees!$A$5:$A$200,0)),"not found"))</f>
        <v/>
      </c>
      <c r="F17" s="24"/>
      <c r="G17" s="23" t="str">
        <f aca="false">IF(B17="","",IF(E17&lt;&gt;"active","Not eligible: not active",IF(D17&lt;&gt;"Yes","Not eligible: not VDU user",IF(F17="","Eligible",IF(EDATE(F17,Lists!$E$8)&lt;=A17,"Eligible","Not eligible: within gap period")))))</f>
        <v/>
      </c>
      <c r="H17" s="22"/>
      <c r="I17" s="26" t="str">
        <f aca="false">IF(OR(A17="",G17&lt;&gt;"Eligible"),"",A17+Lists!$E$9)</f>
        <v/>
      </c>
      <c r="J17" s="22"/>
      <c r="K17" s="22"/>
    </row>
    <row r="18" customFormat="false" ht="15" hidden="false" customHeight="false" outlineLevel="0" collapsed="false">
      <c r="A18" s="24"/>
      <c r="B18" s="22"/>
      <c r="C18" s="25" t="str">
        <f aca="false">IF(B18="","",IFERROR(INDEX(Employees!$B$5:$B$200,MATCH(B18,Employees!$A$5:$A$200,0)),"ID not found"))</f>
        <v/>
      </c>
      <c r="D18" s="25" t="str">
        <f aca="false">IF(B18="","",IFERROR(INDEX(Employees!$K$5:$K$200,MATCH(B18,Employees!$A$5:$A$200,0)),"not found"))</f>
        <v/>
      </c>
      <c r="E18" s="25" t="str">
        <f aca="false">IF(B18="","",IFERROR(INDEX(Employees!$I$5:$I$200,MATCH(B18,Employees!$A$5:$A$200,0)),"not found"))</f>
        <v/>
      </c>
      <c r="F18" s="24"/>
      <c r="G18" s="23" t="str">
        <f aca="false">IF(B18="","",IF(E18&lt;&gt;"active","Not eligible: not active",IF(D18&lt;&gt;"Yes","Not eligible: not VDU user",IF(F18="","Eligible",IF(EDATE(F18,Lists!$E$8)&lt;=A18,"Eligible","Not eligible: within gap period")))))</f>
        <v/>
      </c>
      <c r="H18" s="22"/>
      <c r="I18" s="26" t="str">
        <f aca="false">IF(OR(A18="",G18&lt;&gt;"Eligible"),"",A18+Lists!$E$9)</f>
        <v/>
      </c>
      <c r="J18" s="22"/>
      <c r="K18" s="22"/>
    </row>
    <row r="19" customFormat="false" ht="15" hidden="false" customHeight="false" outlineLevel="0" collapsed="false">
      <c r="A19" s="24"/>
      <c r="B19" s="22"/>
      <c r="C19" s="25" t="str">
        <f aca="false">IF(B19="","",IFERROR(INDEX(Employees!$B$5:$B$200,MATCH(B19,Employees!$A$5:$A$200,0)),"ID not found"))</f>
        <v/>
      </c>
      <c r="D19" s="25" t="str">
        <f aca="false">IF(B19="","",IFERROR(INDEX(Employees!$K$5:$K$200,MATCH(B19,Employees!$A$5:$A$200,0)),"not found"))</f>
        <v/>
      </c>
      <c r="E19" s="25" t="str">
        <f aca="false">IF(B19="","",IFERROR(INDEX(Employees!$I$5:$I$200,MATCH(B19,Employees!$A$5:$A$200,0)),"not found"))</f>
        <v/>
      </c>
      <c r="F19" s="24"/>
      <c r="G19" s="23" t="str">
        <f aca="false">IF(B19="","",IF(E19&lt;&gt;"active","Not eligible: not active",IF(D19&lt;&gt;"Yes","Not eligible: not VDU user",IF(F19="","Eligible",IF(EDATE(F19,Lists!$E$8)&lt;=A19,"Eligible","Not eligible: within gap period")))))</f>
        <v/>
      </c>
      <c r="H19" s="22"/>
      <c r="I19" s="26" t="str">
        <f aca="false">IF(OR(A19="",G19&lt;&gt;"Eligible"),"",A19+Lists!$E$9)</f>
        <v/>
      </c>
      <c r="J19" s="22"/>
      <c r="K19" s="22"/>
    </row>
    <row r="20" customFormat="false" ht="15" hidden="false" customHeight="false" outlineLevel="0" collapsed="false">
      <c r="A20" s="24"/>
      <c r="B20" s="22"/>
      <c r="C20" s="25" t="str">
        <f aca="false">IF(B20="","",IFERROR(INDEX(Employees!$B$5:$B$200,MATCH(B20,Employees!$A$5:$A$200,0)),"ID not found"))</f>
        <v/>
      </c>
      <c r="D20" s="25" t="str">
        <f aca="false">IF(B20="","",IFERROR(INDEX(Employees!$K$5:$K$200,MATCH(B20,Employees!$A$5:$A$200,0)),"not found"))</f>
        <v/>
      </c>
      <c r="E20" s="25" t="str">
        <f aca="false">IF(B20="","",IFERROR(INDEX(Employees!$I$5:$I$200,MATCH(B20,Employees!$A$5:$A$200,0)),"not found"))</f>
        <v/>
      </c>
      <c r="F20" s="24"/>
      <c r="G20" s="23" t="str">
        <f aca="false">IF(B20="","",IF(E20&lt;&gt;"active","Not eligible: not active",IF(D20&lt;&gt;"Yes","Not eligible: not VDU user",IF(F20="","Eligible",IF(EDATE(F20,Lists!$E$8)&lt;=A20,"Eligible","Not eligible: within gap period")))))</f>
        <v/>
      </c>
      <c r="H20" s="22"/>
      <c r="I20" s="26" t="str">
        <f aca="false">IF(OR(A20="",G20&lt;&gt;"Eligible"),"",A20+Lists!$E$9)</f>
        <v/>
      </c>
      <c r="J20" s="22"/>
      <c r="K20" s="22"/>
    </row>
    <row r="21" customFormat="false" ht="15" hidden="false" customHeight="false" outlineLevel="0" collapsed="false">
      <c r="A21" s="24"/>
      <c r="B21" s="22"/>
      <c r="C21" s="25" t="str">
        <f aca="false">IF(B21="","",IFERROR(INDEX(Employees!$B$5:$B$200,MATCH(B21,Employees!$A$5:$A$200,0)),"ID not found"))</f>
        <v/>
      </c>
      <c r="D21" s="25" t="str">
        <f aca="false">IF(B21="","",IFERROR(INDEX(Employees!$K$5:$K$200,MATCH(B21,Employees!$A$5:$A$200,0)),"not found"))</f>
        <v/>
      </c>
      <c r="E21" s="25" t="str">
        <f aca="false">IF(B21="","",IFERROR(INDEX(Employees!$I$5:$I$200,MATCH(B21,Employees!$A$5:$A$200,0)),"not found"))</f>
        <v/>
      </c>
      <c r="F21" s="24"/>
      <c r="G21" s="23" t="str">
        <f aca="false">IF(B21="","",IF(E21&lt;&gt;"active","Not eligible: not active",IF(D21&lt;&gt;"Yes","Not eligible: not VDU user",IF(F21="","Eligible",IF(EDATE(F21,Lists!$E$8)&lt;=A21,"Eligible","Not eligible: within gap period")))))</f>
        <v/>
      </c>
      <c r="H21" s="22"/>
      <c r="I21" s="26" t="str">
        <f aca="false">IF(OR(A21="",G21&lt;&gt;"Eligible"),"",A21+Lists!$E$9)</f>
        <v/>
      </c>
      <c r="J21" s="22"/>
      <c r="K21" s="22"/>
    </row>
    <row r="22" customFormat="false" ht="15" hidden="false" customHeight="false" outlineLevel="0" collapsed="false">
      <c r="A22" s="24"/>
      <c r="B22" s="22"/>
      <c r="C22" s="25" t="str">
        <f aca="false">IF(B22="","",IFERROR(INDEX(Employees!$B$5:$B$200,MATCH(B22,Employees!$A$5:$A$200,0)),"ID not found"))</f>
        <v/>
      </c>
      <c r="D22" s="25" t="str">
        <f aca="false">IF(B22="","",IFERROR(INDEX(Employees!$K$5:$K$200,MATCH(B22,Employees!$A$5:$A$200,0)),"not found"))</f>
        <v/>
      </c>
      <c r="E22" s="25" t="str">
        <f aca="false">IF(B22="","",IFERROR(INDEX(Employees!$I$5:$I$200,MATCH(B22,Employees!$A$5:$A$200,0)),"not found"))</f>
        <v/>
      </c>
      <c r="F22" s="24"/>
      <c r="G22" s="23" t="str">
        <f aca="false">IF(B22="","",IF(E22&lt;&gt;"active","Not eligible: not active",IF(D22&lt;&gt;"Yes","Not eligible: not VDU user",IF(F22="","Eligible",IF(EDATE(F22,Lists!$E$8)&lt;=A22,"Eligible","Not eligible: within gap period")))))</f>
        <v/>
      </c>
      <c r="H22" s="22"/>
      <c r="I22" s="26" t="str">
        <f aca="false">IF(OR(A22="",G22&lt;&gt;"Eligible"),"",A22+Lists!$E$9)</f>
        <v/>
      </c>
      <c r="J22" s="22"/>
      <c r="K22" s="22"/>
    </row>
    <row r="23" customFormat="false" ht="15" hidden="false" customHeight="false" outlineLevel="0" collapsed="false">
      <c r="A23" s="24"/>
      <c r="B23" s="22"/>
      <c r="C23" s="25" t="str">
        <f aca="false">IF(B23="","",IFERROR(INDEX(Employees!$B$5:$B$200,MATCH(B23,Employees!$A$5:$A$200,0)),"ID not found"))</f>
        <v/>
      </c>
      <c r="D23" s="25" t="str">
        <f aca="false">IF(B23="","",IFERROR(INDEX(Employees!$K$5:$K$200,MATCH(B23,Employees!$A$5:$A$200,0)),"not found"))</f>
        <v/>
      </c>
      <c r="E23" s="25" t="str">
        <f aca="false">IF(B23="","",IFERROR(INDEX(Employees!$I$5:$I$200,MATCH(B23,Employees!$A$5:$A$200,0)),"not found"))</f>
        <v/>
      </c>
      <c r="F23" s="24"/>
      <c r="G23" s="23" t="str">
        <f aca="false">IF(B23="","",IF(E23&lt;&gt;"active","Not eligible: not active",IF(D23&lt;&gt;"Yes","Not eligible: not VDU user",IF(F23="","Eligible",IF(EDATE(F23,Lists!$E$8)&lt;=A23,"Eligible","Not eligible: within gap period")))))</f>
        <v/>
      </c>
      <c r="H23" s="22"/>
      <c r="I23" s="26" t="str">
        <f aca="false">IF(OR(A23="",G23&lt;&gt;"Eligible"),"",A23+Lists!$E$9)</f>
        <v/>
      </c>
      <c r="J23" s="22"/>
      <c r="K23" s="22"/>
    </row>
    <row r="24" customFormat="false" ht="15" hidden="false" customHeight="false" outlineLevel="0" collapsed="false">
      <c r="A24" s="24"/>
      <c r="B24" s="22"/>
      <c r="C24" s="25" t="str">
        <f aca="false">IF(B24="","",IFERROR(INDEX(Employees!$B$5:$B$200,MATCH(B24,Employees!$A$5:$A$200,0)),"ID not found"))</f>
        <v/>
      </c>
      <c r="D24" s="25" t="str">
        <f aca="false">IF(B24="","",IFERROR(INDEX(Employees!$K$5:$K$200,MATCH(B24,Employees!$A$5:$A$200,0)),"not found"))</f>
        <v/>
      </c>
      <c r="E24" s="25" t="str">
        <f aca="false">IF(B24="","",IFERROR(INDEX(Employees!$I$5:$I$200,MATCH(B24,Employees!$A$5:$A$200,0)),"not found"))</f>
        <v/>
      </c>
      <c r="F24" s="24"/>
      <c r="G24" s="23" t="str">
        <f aca="false">IF(B24="","",IF(E24&lt;&gt;"active","Not eligible: not active",IF(D24&lt;&gt;"Yes","Not eligible: not VDU user",IF(F24="","Eligible",IF(EDATE(F24,Lists!$E$8)&lt;=A24,"Eligible","Not eligible: within gap period")))))</f>
        <v/>
      </c>
      <c r="H24" s="22"/>
      <c r="I24" s="26" t="str">
        <f aca="false">IF(OR(A24="",G24&lt;&gt;"Eligible"),"",A24+Lists!$E$9)</f>
        <v/>
      </c>
      <c r="J24" s="22"/>
      <c r="K24" s="22"/>
    </row>
    <row r="25" customFormat="false" ht="15" hidden="false" customHeight="false" outlineLevel="0" collapsed="false">
      <c r="A25" s="24"/>
      <c r="B25" s="22"/>
      <c r="C25" s="25" t="str">
        <f aca="false">IF(B25="","",IFERROR(INDEX(Employees!$B$5:$B$200,MATCH(B25,Employees!$A$5:$A$200,0)),"ID not found"))</f>
        <v/>
      </c>
      <c r="D25" s="25" t="str">
        <f aca="false">IF(B25="","",IFERROR(INDEX(Employees!$K$5:$K$200,MATCH(B25,Employees!$A$5:$A$200,0)),"not found"))</f>
        <v/>
      </c>
      <c r="E25" s="25" t="str">
        <f aca="false">IF(B25="","",IFERROR(INDEX(Employees!$I$5:$I$200,MATCH(B25,Employees!$A$5:$A$200,0)),"not found"))</f>
        <v/>
      </c>
      <c r="F25" s="24"/>
      <c r="G25" s="23" t="str">
        <f aca="false">IF(B25="","",IF(E25&lt;&gt;"active","Not eligible: not active",IF(D25&lt;&gt;"Yes","Not eligible: not VDU user",IF(F25="","Eligible",IF(EDATE(F25,Lists!$E$8)&lt;=A25,"Eligible","Not eligible: within gap period")))))</f>
        <v/>
      </c>
      <c r="H25" s="22"/>
      <c r="I25" s="26" t="str">
        <f aca="false">IF(OR(A25="",G25&lt;&gt;"Eligible"),"",A25+Lists!$E$9)</f>
        <v/>
      </c>
      <c r="J25" s="22"/>
      <c r="K25" s="22"/>
    </row>
    <row r="26" customFormat="false" ht="15" hidden="false" customHeight="false" outlineLevel="0" collapsed="false">
      <c r="A26" s="24"/>
      <c r="B26" s="22"/>
      <c r="C26" s="25" t="str">
        <f aca="false">IF(B26="","",IFERROR(INDEX(Employees!$B$5:$B$200,MATCH(B26,Employees!$A$5:$A$200,0)),"ID not found"))</f>
        <v/>
      </c>
      <c r="D26" s="25" t="str">
        <f aca="false">IF(B26="","",IFERROR(INDEX(Employees!$K$5:$K$200,MATCH(B26,Employees!$A$5:$A$200,0)),"not found"))</f>
        <v/>
      </c>
      <c r="E26" s="25" t="str">
        <f aca="false">IF(B26="","",IFERROR(INDEX(Employees!$I$5:$I$200,MATCH(B26,Employees!$A$5:$A$200,0)),"not found"))</f>
        <v/>
      </c>
      <c r="F26" s="24"/>
      <c r="G26" s="23" t="str">
        <f aca="false">IF(B26="","",IF(E26&lt;&gt;"active","Not eligible: not active",IF(D26&lt;&gt;"Yes","Not eligible: not VDU user",IF(F26="","Eligible",IF(EDATE(F26,Lists!$E$8)&lt;=A26,"Eligible","Not eligible: within gap period")))))</f>
        <v/>
      </c>
      <c r="H26" s="22"/>
      <c r="I26" s="26" t="str">
        <f aca="false">IF(OR(A26="",G26&lt;&gt;"Eligible"),"",A26+Lists!$E$9)</f>
        <v/>
      </c>
      <c r="J26" s="22"/>
      <c r="K26" s="22"/>
    </row>
    <row r="27" customFormat="false" ht="15" hidden="false" customHeight="false" outlineLevel="0" collapsed="false">
      <c r="A27" s="24"/>
      <c r="B27" s="22"/>
      <c r="C27" s="25" t="str">
        <f aca="false">IF(B27="","",IFERROR(INDEX(Employees!$B$5:$B$200,MATCH(B27,Employees!$A$5:$A$200,0)),"ID not found"))</f>
        <v/>
      </c>
      <c r="D27" s="25" t="str">
        <f aca="false">IF(B27="","",IFERROR(INDEX(Employees!$K$5:$K$200,MATCH(B27,Employees!$A$5:$A$200,0)),"not found"))</f>
        <v/>
      </c>
      <c r="E27" s="25" t="str">
        <f aca="false">IF(B27="","",IFERROR(INDEX(Employees!$I$5:$I$200,MATCH(B27,Employees!$A$5:$A$200,0)),"not found"))</f>
        <v/>
      </c>
      <c r="F27" s="24"/>
      <c r="G27" s="23" t="str">
        <f aca="false">IF(B27="","",IF(E27&lt;&gt;"active","Not eligible: not active",IF(D27&lt;&gt;"Yes","Not eligible: not VDU user",IF(F27="","Eligible",IF(EDATE(F27,Lists!$E$8)&lt;=A27,"Eligible","Not eligible: within gap period")))))</f>
        <v/>
      </c>
      <c r="H27" s="22"/>
      <c r="I27" s="26" t="str">
        <f aca="false">IF(OR(A27="",G27&lt;&gt;"Eligible"),"",A27+Lists!$E$9)</f>
        <v/>
      </c>
      <c r="J27" s="22"/>
      <c r="K27" s="22"/>
    </row>
    <row r="28" customFormat="false" ht="15" hidden="false" customHeight="false" outlineLevel="0" collapsed="false">
      <c r="A28" s="24"/>
      <c r="B28" s="22"/>
      <c r="C28" s="25" t="str">
        <f aca="false">IF(B28="","",IFERROR(INDEX(Employees!$B$5:$B$200,MATCH(B28,Employees!$A$5:$A$200,0)),"ID not found"))</f>
        <v/>
      </c>
      <c r="D28" s="25" t="str">
        <f aca="false">IF(B28="","",IFERROR(INDEX(Employees!$K$5:$K$200,MATCH(B28,Employees!$A$5:$A$200,0)),"not found"))</f>
        <v/>
      </c>
      <c r="E28" s="25" t="str">
        <f aca="false">IF(B28="","",IFERROR(INDEX(Employees!$I$5:$I$200,MATCH(B28,Employees!$A$5:$A$200,0)),"not found"))</f>
        <v/>
      </c>
      <c r="F28" s="24"/>
      <c r="G28" s="23" t="str">
        <f aca="false">IF(B28="","",IF(E28&lt;&gt;"active","Not eligible: not active",IF(D28&lt;&gt;"Yes","Not eligible: not VDU user",IF(F28="","Eligible",IF(EDATE(F28,Lists!$E$8)&lt;=A28,"Eligible","Not eligible: within gap period")))))</f>
        <v/>
      </c>
      <c r="H28" s="22"/>
      <c r="I28" s="26" t="str">
        <f aca="false">IF(OR(A28="",G28&lt;&gt;"Eligible"),"",A28+Lists!$E$9)</f>
        <v/>
      </c>
      <c r="J28" s="22"/>
      <c r="K28" s="22"/>
    </row>
    <row r="29" customFormat="false" ht="15" hidden="false" customHeight="false" outlineLevel="0" collapsed="false">
      <c r="A29" s="24"/>
      <c r="B29" s="22"/>
      <c r="C29" s="25" t="str">
        <f aca="false">IF(B29="","",IFERROR(INDEX(Employees!$B$5:$B$200,MATCH(B29,Employees!$A$5:$A$200,0)),"ID not found"))</f>
        <v/>
      </c>
      <c r="D29" s="25" t="str">
        <f aca="false">IF(B29="","",IFERROR(INDEX(Employees!$K$5:$K$200,MATCH(B29,Employees!$A$5:$A$200,0)),"not found"))</f>
        <v/>
      </c>
      <c r="E29" s="25" t="str">
        <f aca="false">IF(B29="","",IFERROR(INDEX(Employees!$I$5:$I$200,MATCH(B29,Employees!$A$5:$A$200,0)),"not found"))</f>
        <v/>
      </c>
      <c r="F29" s="24"/>
      <c r="G29" s="23" t="str">
        <f aca="false">IF(B29="","",IF(E29&lt;&gt;"active","Not eligible: not active",IF(D29&lt;&gt;"Yes","Not eligible: not VDU user",IF(F29="","Eligible",IF(EDATE(F29,Lists!$E$8)&lt;=A29,"Eligible","Not eligible: within gap period")))))</f>
        <v/>
      </c>
      <c r="H29" s="22"/>
      <c r="I29" s="26" t="str">
        <f aca="false">IF(OR(A29="",G29&lt;&gt;"Eligible"),"",A29+Lists!$E$9)</f>
        <v/>
      </c>
      <c r="J29" s="22"/>
      <c r="K29" s="22"/>
    </row>
    <row r="30" customFormat="false" ht="15" hidden="false" customHeight="false" outlineLevel="0" collapsed="false">
      <c r="A30" s="24"/>
      <c r="B30" s="22"/>
      <c r="C30" s="25" t="str">
        <f aca="false">IF(B30="","",IFERROR(INDEX(Employees!$B$5:$B$200,MATCH(B30,Employees!$A$5:$A$200,0)),"ID not found"))</f>
        <v/>
      </c>
      <c r="D30" s="25" t="str">
        <f aca="false">IF(B30="","",IFERROR(INDEX(Employees!$K$5:$K$200,MATCH(B30,Employees!$A$5:$A$200,0)),"not found"))</f>
        <v/>
      </c>
      <c r="E30" s="25" t="str">
        <f aca="false">IF(B30="","",IFERROR(INDEX(Employees!$I$5:$I$200,MATCH(B30,Employees!$A$5:$A$200,0)),"not found"))</f>
        <v/>
      </c>
      <c r="F30" s="24"/>
      <c r="G30" s="23" t="str">
        <f aca="false">IF(B30="","",IF(E30&lt;&gt;"active","Not eligible: not active",IF(D30&lt;&gt;"Yes","Not eligible: not VDU user",IF(F30="","Eligible",IF(EDATE(F30,Lists!$E$8)&lt;=A30,"Eligible","Not eligible: within gap period")))))</f>
        <v/>
      </c>
      <c r="H30" s="22"/>
      <c r="I30" s="26" t="str">
        <f aca="false">IF(OR(A30="",G30&lt;&gt;"Eligible"),"",A30+Lists!$E$9)</f>
        <v/>
      </c>
      <c r="J30" s="22"/>
      <c r="K30" s="22"/>
    </row>
    <row r="31" customFormat="false" ht="15" hidden="false" customHeight="false" outlineLevel="0" collapsed="false">
      <c r="A31" s="24"/>
      <c r="B31" s="22"/>
      <c r="C31" s="25" t="str">
        <f aca="false">IF(B31="","",IFERROR(INDEX(Employees!$B$5:$B$200,MATCH(B31,Employees!$A$5:$A$200,0)),"ID not found"))</f>
        <v/>
      </c>
      <c r="D31" s="25" t="str">
        <f aca="false">IF(B31="","",IFERROR(INDEX(Employees!$K$5:$K$200,MATCH(B31,Employees!$A$5:$A$200,0)),"not found"))</f>
        <v/>
      </c>
      <c r="E31" s="25" t="str">
        <f aca="false">IF(B31="","",IFERROR(INDEX(Employees!$I$5:$I$200,MATCH(B31,Employees!$A$5:$A$200,0)),"not found"))</f>
        <v/>
      </c>
      <c r="F31" s="24"/>
      <c r="G31" s="23" t="str">
        <f aca="false">IF(B31="","",IF(E31&lt;&gt;"active","Not eligible: not active",IF(D31&lt;&gt;"Yes","Not eligible: not VDU user",IF(F31="","Eligible",IF(EDATE(F31,Lists!$E$8)&lt;=A31,"Eligible","Not eligible: within gap period")))))</f>
        <v/>
      </c>
      <c r="H31" s="22"/>
      <c r="I31" s="26" t="str">
        <f aca="false">IF(OR(A31="",G31&lt;&gt;"Eligible"),"",A31+Lists!$E$9)</f>
        <v/>
      </c>
      <c r="J31" s="22"/>
      <c r="K31" s="22"/>
    </row>
    <row r="32" customFormat="false" ht="15" hidden="false" customHeight="false" outlineLevel="0" collapsed="false">
      <c r="A32" s="24"/>
      <c r="B32" s="22"/>
      <c r="C32" s="25" t="str">
        <f aca="false">IF(B32="","",IFERROR(INDEX(Employees!$B$5:$B$200,MATCH(B32,Employees!$A$5:$A$200,0)),"ID not found"))</f>
        <v/>
      </c>
      <c r="D32" s="25" t="str">
        <f aca="false">IF(B32="","",IFERROR(INDEX(Employees!$K$5:$K$200,MATCH(B32,Employees!$A$5:$A$200,0)),"not found"))</f>
        <v/>
      </c>
      <c r="E32" s="25" t="str">
        <f aca="false">IF(B32="","",IFERROR(INDEX(Employees!$I$5:$I$200,MATCH(B32,Employees!$A$5:$A$200,0)),"not found"))</f>
        <v/>
      </c>
      <c r="F32" s="24"/>
      <c r="G32" s="23" t="str">
        <f aca="false">IF(B32="","",IF(E32&lt;&gt;"active","Not eligible: not active",IF(D32&lt;&gt;"Yes","Not eligible: not VDU user",IF(F32="","Eligible",IF(EDATE(F32,Lists!$E$8)&lt;=A32,"Eligible","Not eligible: within gap period")))))</f>
        <v/>
      </c>
      <c r="H32" s="22"/>
      <c r="I32" s="26" t="str">
        <f aca="false">IF(OR(A32="",G32&lt;&gt;"Eligible"),"",A32+Lists!$E$9)</f>
        <v/>
      </c>
      <c r="J32" s="22"/>
      <c r="K32" s="22"/>
    </row>
    <row r="33" customFormat="false" ht="15" hidden="false" customHeight="false" outlineLevel="0" collapsed="false">
      <c r="A33" s="24"/>
      <c r="B33" s="22"/>
      <c r="C33" s="25" t="str">
        <f aca="false">IF(B33="","",IFERROR(INDEX(Employees!$B$5:$B$200,MATCH(B33,Employees!$A$5:$A$200,0)),"ID not found"))</f>
        <v/>
      </c>
      <c r="D33" s="25" t="str">
        <f aca="false">IF(B33="","",IFERROR(INDEX(Employees!$K$5:$K$200,MATCH(B33,Employees!$A$5:$A$200,0)),"not found"))</f>
        <v/>
      </c>
      <c r="E33" s="25" t="str">
        <f aca="false">IF(B33="","",IFERROR(INDEX(Employees!$I$5:$I$200,MATCH(B33,Employees!$A$5:$A$200,0)),"not found"))</f>
        <v/>
      </c>
      <c r="F33" s="24"/>
      <c r="G33" s="23" t="str">
        <f aca="false">IF(B33="","",IF(E33&lt;&gt;"active","Not eligible: not active",IF(D33&lt;&gt;"Yes","Not eligible: not VDU user",IF(F33="","Eligible",IF(EDATE(F33,Lists!$E$8)&lt;=A33,"Eligible","Not eligible: within gap period")))))</f>
        <v/>
      </c>
      <c r="H33" s="22"/>
      <c r="I33" s="26" t="str">
        <f aca="false">IF(OR(A33="",G33&lt;&gt;"Eligible"),"",A33+Lists!$E$9)</f>
        <v/>
      </c>
      <c r="J33" s="22"/>
      <c r="K33" s="22"/>
    </row>
    <row r="34" customFormat="false" ht="15" hidden="false" customHeight="false" outlineLevel="0" collapsed="false">
      <c r="A34" s="24"/>
      <c r="B34" s="22"/>
      <c r="C34" s="25" t="str">
        <f aca="false">IF(B34="","",IFERROR(INDEX(Employees!$B$5:$B$200,MATCH(B34,Employees!$A$5:$A$200,0)),"ID not found"))</f>
        <v/>
      </c>
      <c r="D34" s="25" t="str">
        <f aca="false">IF(B34="","",IFERROR(INDEX(Employees!$K$5:$K$200,MATCH(B34,Employees!$A$5:$A$200,0)),"not found"))</f>
        <v/>
      </c>
      <c r="E34" s="25" t="str">
        <f aca="false">IF(B34="","",IFERROR(INDEX(Employees!$I$5:$I$200,MATCH(B34,Employees!$A$5:$A$200,0)),"not found"))</f>
        <v/>
      </c>
      <c r="F34" s="24"/>
      <c r="G34" s="23" t="str">
        <f aca="false">IF(B34="","",IF(E34&lt;&gt;"active","Not eligible: not active",IF(D34&lt;&gt;"Yes","Not eligible: not VDU user",IF(F34="","Eligible",IF(EDATE(F34,Lists!$E$8)&lt;=A34,"Eligible","Not eligible: within gap period")))))</f>
        <v/>
      </c>
      <c r="H34" s="22"/>
      <c r="I34" s="26" t="str">
        <f aca="false">IF(OR(A34="",G34&lt;&gt;"Eligible"),"",A34+Lists!$E$9)</f>
        <v/>
      </c>
      <c r="J34" s="22"/>
      <c r="K34" s="22"/>
    </row>
    <row r="35" customFormat="false" ht="15" hidden="false" customHeight="false" outlineLevel="0" collapsed="false">
      <c r="A35" s="24"/>
      <c r="B35" s="22"/>
      <c r="C35" s="25" t="str">
        <f aca="false">IF(B35="","",IFERROR(INDEX(Employees!$B$5:$B$200,MATCH(B35,Employees!$A$5:$A$200,0)),"ID not found"))</f>
        <v/>
      </c>
      <c r="D35" s="25" t="str">
        <f aca="false">IF(B35="","",IFERROR(INDEX(Employees!$K$5:$K$200,MATCH(B35,Employees!$A$5:$A$200,0)),"not found"))</f>
        <v/>
      </c>
      <c r="E35" s="25" t="str">
        <f aca="false">IF(B35="","",IFERROR(INDEX(Employees!$I$5:$I$200,MATCH(B35,Employees!$A$5:$A$200,0)),"not found"))</f>
        <v/>
      </c>
      <c r="F35" s="24"/>
      <c r="G35" s="23" t="str">
        <f aca="false">IF(B35="","",IF(E35&lt;&gt;"active","Not eligible: not active",IF(D35&lt;&gt;"Yes","Not eligible: not VDU user",IF(F35="","Eligible",IF(EDATE(F35,Lists!$E$8)&lt;=A35,"Eligible","Not eligible: within gap period")))))</f>
        <v/>
      </c>
      <c r="H35" s="22"/>
      <c r="I35" s="26" t="str">
        <f aca="false">IF(OR(A35="",G35&lt;&gt;"Eligible"),"",A35+Lists!$E$9)</f>
        <v/>
      </c>
      <c r="J35" s="22"/>
      <c r="K35" s="22"/>
    </row>
    <row r="36" customFormat="false" ht="15" hidden="false" customHeight="false" outlineLevel="0" collapsed="false">
      <c r="A36" s="24"/>
      <c r="B36" s="22"/>
      <c r="C36" s="25" t="str">
        <f aca="false">IF(B36="","",IFERROR(INDEX(Employees!$B$5:$B$200,MATCH(B36,Employees!$A$5:$A$200,0)),"ID not found"))</f>
        <v/>
      </c>
      <c r="D36" s="25" t="str">
        <f aca="false">IF(B36="","",IFERROR(INDEX(Employees!$K$5:$K$200,MATCH(B36,Employees!$A$5:$A$200,0)),"not found"))</f>
        <v/>
      </c>
      <c r="E36" s="25" t="str">
        <f aca="false">IF(B36="","",IFERROR(INDEX(Employees!$I$5:$I$200,MATCH(B36,Employees!$A$5:$A$200,0)),"not found"))</f>
        <v/>
      </c>
      <c r="F36" s="24"/>
      <c r="G36" s="23" t="str">
        <f aca="false">IF(B36="","",IF(E36&lt;&gt;"active","Not eligible: not active",IF(D36&lt;&gt;"Yes","Not eligible: not VDU user",IF(F36="","Eligible",IF(EDATE(F36,Lists!$E$8)&lt;=A36,"Eligible","Not eligible: within gap period")))))</f>
        <v/>
      </c>
      <c r="H36" s="22"/>
      <c r="I36" s="26" t="str">
        <f aca="false">IF(OR(A36="",G36&lt;&gt;"Eligible"),"",A36+Lists!$E$9)</f>
        <v/>
      </c>
      <c r="J36" s="22"/>
      <c r="K36" s="22"/>
    </row>
    <row r="37" customFormat="false" ht="15" hidden="false" customHeight="false" outlineLevel="0" collapsed="false">
      <c r="A37" s="24"/>
      <c r="B37" s="22"/>
      <c r="C37" s="25" t="str">
        <f aca="false">IF(B37="","",IFERROR(INDEX(Employees!$B$5:$B$200,MATCH(B37,Employees!$A$5:$A$200,0)),"ID not found"))</f>
        <v/>
      </c>
      <c r="D37" s="25" t="str">
        <f aca="false">IF(B37="","",IFERROR(INDEX(Employees!$K$5:$K$200,MATCH(B37,Employees!$A$5:$A$200,0)),"not found"))</f>
        <v/>
      </c>
      <c r="E37" s="25" t="str">
        <f aca="false">IF(B37="","",IFERROR(INDEX(Employees!$I$5:$I$200,MATCH(B37,Employees!$A$5:$A$200,0)),"not found"))</f>
        <v/>
      </c>
      <c r="F37" s="24"/>
      <c r="G37" s="23" t="str">
        <f aca="false">IF(B37="","",IF(E37&lt;&gt;"active","Not eligible: not active",IF(D37&lt;&gt;"Yes","Not eligible: not VDU user",IF(F37="","Eligible",IF(EDATE(F37,Lists!$E$8)&lt;=A37,"Eligible","Not eligible: within gap period")))))</f>
        <v/>
      </c>
      <c r="H37" s="22"/>
      <c r="I37" s="26" t="str">
        <f aca="false">IF(OR(A37="",G37&lt;&gt;"Eligible"),"",A37+Lists!$E$9)</f>
        <v/>
      </c>
      <c r="J37" s="22"/>
      <c r="K37" s="22"/>
    </row>
    <row r="38" customFormat="false" ht="15" hidden="false" customHeight="false" outlineLevel="0" collapsed="false">
      <c r="A38" s="24"/>
      <c r="B38" s="22"/>
      <c r="C38" s="25" t="str">
        <f aca="false">IF(B38="","",IFERROR(INDEX(Employees!$B$5:$B$200,MATCH(B38,Employees!$A$5:$A$200,0)),"ID not found"))</f>
        <v/>
      </c>
      <c r="D38" s="25" t="str">
        <f aca="false">IF(B38="","",IFERROR(INDEX(Employees!$K$5:$K$200,MATCH(B38,Employees!$A$5:$A$200,0)),"not found"))</f>
        <v/>
      </c>
      <c r="E38" s="25" t="str">
        <f aca="false">IF(B38="","",IFERROR(INDEX(Employees!$I$5:$I$200,MATCH(B38,Employees!$A$5:$A$200,0)),"not found"))</f>
        <v/>
      </c>
      <c r="F38" s="24"/>
      <c r="G38" s="23" t="str">
        <f aca="false">IF(B38="","",IF(E38&lt;&gt;"active","Not eligible: not active",IF(D38&lt;&gt;"Yes","Not eligible: not VDU user",IF(F38="","Eligible",IF(EDATE(F38,Lists!$E$8)&lt;=A38,"Eligible","Not eligible: within gap period")))))</f>
        <v/>
      </c>
      <c r="H38" s="22"/>
      <c r="I38" s="26" t="str">
        <f aca="false">IF(OR(A38="",G38&lt;&gt;"Eligible"),"",A38+Lists!$E$9)</f>
        <v/>
      </c>
      <c r="J38" s="22"/>
      <c r="K38" s="22"/>
    </row>
    <row r="39" customFormat="false" ht="15" hidden="false" customHeight="false" outlineLevel="0" collapsed="false">
      <c r="A39" s="24"/>
      <c r="B39" s="22"/>
      <c r="C39" s="25" t="str">
        <f aca="false">IF(B39="","",IFERROR(INDEX(Employees!$B$5:$B$200,MATCH(B39,Employees!$A$5:$A$200,0)),"ID not found"))</f>
        <v/>
      </c>
      <c r="D39" s="25" t="str">
        <f aca="false">IF(B39="","",IFERROR(INDEX(Employees!$K$5:$K$200,MATCH(B39,Employees!$A$5:$A$200,0)),"not found"))</f>
        <v/>
      </c>
      <c r="E39" s="25" t="str">
        <f aca="false">IF(B39="","",IFERROR(INDEX(Employees!$I$5:$I$200,MATCH(B39,Employees!$A$5:$A$200,0)),"not found"))</f>
        <v/>
      </c>
      <c r="F39" s="24"/>
      <c r="G39" s="23" t="str">
        <f aca="false">IF(B39="","",IF(E39&lt;&gt;"active","Not eligible: not active",IF(D39&lt;&gt;"Yes","Not eligible: not VDU user",IF(F39="","Eligible",IF(EDATE(F39,Lists!$E$8)&lt;=A39,"Eligible","Not eligible: within gap period")))))</f>
        <v/>
      </c>
      <c r="H39" s="22"/>
      <c r="I39" s="26" t="str">
        <f aca="false">IF(OR(A39="",G39&lt;&gt;"Eligible"),"",A39+Lists!$E$9)</f>
        <v/>
      </c>
      <c r="J39" s="22"/>
      <c r="K39" s="22"/>
    </row>
    <row r="40" customFormat="false" ht="15" hidden="false" customHeight="false" outlineLevel="0" collapsed="false">
      <c r="A40" s="24"/>
      <c r="B40" s="22"/>
      <c r="C40" s="25" t="str">
        <f aca="false">IF(B40="","",IFERROR(INDEX(Employees!$B$5:$B$200,MATCH(B40,Employees!$A$5:$A$200,0)),"ID not found"))</f>
        <v/>
      </c>
      <c r="D40" s="25" t="str">
        <f aca="false">IF(B40="","",IFERROR(INDEX(Employees!$K$5:$K$200,MATCH(B40,Employees!$A$5:$A$200,0)),"not found"))</f>
        <v/>
      </c>
      <c r="E40" s="25" t="str">
        <f aca="false">IF(B40="","",IFERROR(INDEX(Employees!$I$5:$I$200,MATCH(B40,Employees!$A$5:$A$200,0)),"not found"))</f>
        <v/>
      </c>
      <c r="F40" s="24"/>
      <c r="G40" s="23" t="str">
        <f aca="false">IF(B40="","",IF(E40&lt;&gt;"active","Not eligible: not active",IF(D40&lt;&gt;"Yes","Not eligible: not VDU user",IF(F40="","Eligible",IF(EDATE(F40,Lists!$E$8)&lt;=A40,"Eligible","Not eligible: within gap period")))))</f>
        <v/>
      </c>
      <c r="H40" s="22"/>
      <c r="I40" s="26" t="str">
        <f aca="false">IF(OR(A40="",G40&lt;&gt;"Eligible"),"",A40+Lists!$E$9)</f>
        <v/>
      </c>
      <c r="J40" s="22"/>
      <c r="K40" s="22"/>
    </row>
    <row r="41" customFormat="false" ht="15" hidden="false" customHeight="false" outlineLevel="0" collapsed="false">
      <c r="A41" s="24"/>
      <c r="B41" s="22"/>
      <c r="C41" s="25" t="str">
        <f aca="false">IF(B41="","",IFERROR(INDEX(Employees!$B$5:$B$200,MATCH(B41,Employees!$A$5:$A$200,0)),"ID not found"))</f>
        <v/>
      </c>
      <c r="D41" s="25" t="str">
        <f aca="false">IF(B41="","",IFERROR(INDEX(Employees!$K$5:$K$200,MATCH(B41,Employees!$A$5:$A$200,0)),"not found"))</f>
        <v/>
      </c>
      <c r="E41" s="25" t="str">
        <f aca="false">IF(B41="","",IFERROR(INDEX(Employees!$I$5:$I$200,MATCH(B41,Employees!$A$5:$A$200,0)),"not found"))</f>
        <v/>
      </c>
      <c r="F41" s="24"/>
      <c r="G41" s="23" t="str">
        <f aca="false">IF(B41="","",IF(E41&lt;&gt;"active","Not eligible: not active",IF(D41&lt;&gt;"Yes","Not eligible: not VDU user",IF(F41="","Eligible",IF(EDATE(F41,Lists!$E$8)&lt;=A41,"Eligible","Not eligible: within gap period")))))</f>
        <v/>
      </c>
      <c r="H41" s="22"/>
      <c r="I41" s="26" t="str">
        <f aca="false">IF(OR(A41="",G41&lt;&gt;"Eligible"),"",A41+Lists!$E$9)</f>
        <v/>
      </c>
      <c r="J41" s="22"/>
      <c r="K41" s="22"/>
    </row>
    <row r="42" customFormat="false" ht="15" hidden="false" customHeight="false" outlineLevel="0" collapsed="false">
      <c r="A42" s="24"/>
      <c r="B42" s="22"/>
      <c r="C42" s="25" t="str">
        <f aca="false">IF(B42="","",IFERROR(INDEX(Employees!$B$5:$B$200,MATCH(B42,Employees!$A$5:$A$200,0)),"ID not found"))</f>
        <v/>
      </c>
      <c r="D42" s="25" t="str">
        <f aca="false">IF(B42="","",IFERROR(INDEX(Employees!$K$5:$K$200,MATCH(B42,Employees!$A$5:$A$200,0)),"not found"))</f>
        <v/>
      </c>
      <c r="E42" s="25" t="str">
        <f aca="false">IF(B42="","",IFERROR(INDEX(Employees!$I$5:$I$200,MATCH(B42,Employees!$A$5:$A$200,0)),"not found"))</f>
        <v/>
      </c>
      <c r="F42" s="24"/>
      <c r="G42" s="23" t="str">
        <f aca="false">IF(B42="","",IF(E42&lt;&gt;"active","Not eligible: not active",IF(D42&lt;&gt;"Yes","Not eligible: not VDU user",IF(F42="","Eligible",IF(EDATE(F42,Lists!$E$8)&lt;=A42,"Eligible","Not eligible: within gap period")))))</f>
        <v/>
      </c>
      <c r="H42" s="22"/>
      <c r="I42" s="26" t="str">
        <f aca="false">IF(OR(A42="",G42&lt;&gt;"Eligible"),"",A42+Lists!$E$9)</f>
        <v/>
      </c>
      <c r="J42" s="22"/>
      <c r="K42" s="22"/>
    </row>
    <row r="43" customFormat="false" ht="15" hidden="false" customHeight="false" outlineLevel="0" collapsed="false">
      <c r="A43" s="24"/>
      <c r="B43" s="22"/>
      <c r="C43" s="25" t="str">
        <f aca="false">IF(B43="","",IFERROR(INDEX(Employees!$B$5:$B$200,MATCH(B43,Employees!$A$5:$A$200,0)),"ID not found"))</f>
        <v/>
      </c>
      <c r="D43" s="25" t="str">
        <f aca="false">IF(B43="","",IFERROR(INDEX(Employees!$K$5:$K$200,MATCH(B43,Employees!$A$5:$A$200,0)),"not found"))</f>
        <v/>
      </c>
      <c r="E43" s="25" t="str">
        <f aca="false">IF(B43="","",IFERROR(INDEX(Employees!$I$5:$I$200,MATCH(B43,Employees!$A$5:$A$200,0)),"not found"))</f>
        <v/>
      </c>
      <c r="F43" s="24"/>
      <c r="G43" s="23" t="str">
        <f aca="false">IF(B43="","",IF(E43&lt;&gt;"active","Not eligible: not active",IF(D43&lt;&gt;"Yes","Not eligible: not VDU user",IF(F43="","Eligible",IF(EDATE(F43,Lists!$E$8)&lt;=A43,"Eligible","Not eligible: within gap period")))))</f>
        <v/>
      </c>
      <c r="H43" s="22"/>
      <c r="I43" s="26" t="str">
        <f aca="false">IF(OR(A43="",G43&lt;&gt;"Eligible"),"",A43+Lists!$E$9)</f>
        <v/>
      </c>
      <c r="J43" s="22"/>
      <c r="K43" s="22"/>
    </row>
    <row r="44" customFormat="false" ht="15" hidden="false" customHeight="false" outlineLevel="0" collapsed="false">
      <c r="A44" s="24"/>
      <c r="B44" s="22"/>
      <c r="C44" s="25" t="str">
        <f aca="false">IF(B44="","",IFERROR(INDEX(Employees!$B$5:$B$200,MATCH(B44,Employees!$A$5:$A$200,0)),"ID not found"))</f>
        <v/>
      </c>
      <c r="D44" s="25" t="str">
        <f aca="false">IF(B44="","",IFERROR(INDEX(Employees!$K$5:$K$200,MATCH(B44,Employees!$A$5:$A$200,0)),"not found"))</f>
        <v/>
      </c>
      <c r="E44" s="25" t="str">
        <f aca="false">IF(B44="","",IFERROR(INDEX(Employees!$I$5:$I$200,MATCH(B44,Employees!$A$5:$A$200,0)),"not found"))</f>
        <v/>
      </c>
      <c r="F44" s="24"/>
      <c r="G44" s="23" t="str">
        <f aca="false">IF(B44="","",IF(E44&lt;&gt;"active","Not eligible: not active",IF(D44&lt;&gt;"Yes","Not eligible: not VDU user",IF(F44="","Eligible",IF(EDATE(F44,Lists!$E$8)&lt;=A44,"Eligible","Not eligible: within gap period")))))</f>
        <v/>
      </c>
      <c r="H44" s="22"/>
      <c r="I44" s="26" t="str">
        <f aca="false">IF(OR(A44="",G44&lt;&gt;"Eligible"),"",A44+Lists!$E$9)</f>
        <v/>
      </c>
      <c r="J44" s="22"/>
      <c r="K44" s="22"/>
    </row>
    <row r="45" customFormat="false" ht="15" hidden="false" customHeight="false" outlineLevel="0" collapsed="false">
      <c r="A45" s="24"/>
      <c r="B45" s="22"/>
      <c r="C45" s="25" t="str">
        <f aca="false">IF(B45="","",IFERROR(INDEX(Employees!$B$5:$B$200,MATCH(B45,Employees!$A$5:$A$200,0)),"ID not found"))</f>
        <v/>
      </c>
      <c r="D45" s="25" t="str">
        <f aca="false">IF(B45="","",IFERROR(INDEX(Employees!$K$5:$K$200,MATCH(B45,Employees!$A$5:$A$200,0)),"not found"))</f>
        <v/>
      </c>
      <c r="E45" s="25" t="str">
        <f aca="false">IF(B45="","",IFERROR(INDEX(Employees!$I$5:$I$200,MATCH(B45,Employees!$A$5:$A$200,0)),"not found"))</f>
        <v/>
      </c>
      <c r="F45" s="24"/>
      <c r="G45" s="23" t="str">
        <f aca="false">IF(B45="","",IF(E45&lt;&gt;"active","Not eligible: not active",IF(D45&lt;&gt;"Yes","Not eligible: not VDU user",IF(F45="","Eligible",IF(EDATE(F45,Lists!$E$8)&lt;=A45,"Eligible","Not eligible: within gap period")))))</f>
        <v/>
      </c>
      <c r="H45" s="22"/>
      <c r="I45" s="26" t="str">
        <f aca="false">IF(OR(A45="",G45&lt;&gt;"Eligible"),"",A45+Lists!$E$9)</f>
        <v/>
      </c>
      <c r="J45" s="22"/>
      <c r="K45" s="22"/>
    </row>
    <row r="46" customFormat="false" ht="15" hidden="false" customHeight="false" outlineLevel="0" collapsed="false">
      <c r="A46" s="24"/>
      <c r="B46" s="22"/>
      <c r="C46" s="25" t="str">
        <f aca="false">IF(B46="","",IFERROR(INDEX(Employees!$B$5:$B$200,MATCH(B46,Employees!$A$5:$A$200,0)),"ID not found"))</f>
        <v/>
      </c>
      <c r="D46" s="25" t="str">
        <f aca="false">IF(B46="","",IFERROR(INDEX(Employees!$K$5:$K$200,MATCH(B46,Employees!$A$5:$A$200,0)),"not found"))</f>
        <v/>
      </c>
      <c r="E46" s="25" t="str">
        <f aca="false">IF(B46="","",IFERROR(INDEX(Employees!$I$5:$I$200,MATCH(B46,Employees!$A$5:$A$200,0)),"not found"))</f>
        <v/>
      </c>
      <c r="F46" s="24"/>
      <c r="G46" s="23" t="str">
        <f aca="false">IF(B46="","",IF(E46&lt;&gt;"active","Not eligible: not active",IF(D46&lt;&gt;"Yes","Not eligible: not VDU user",IF(F46="","Eligible",IF(EDATE(F46,Lists!$E$8)&lt;=A46,"Eligible","Not eligible: within gap period")))))</f>
        <v/>
      </c>
      <c r="H46" s="22"/>
      <c r="I46" s="26" t="str">
        <f aca="false">IF(OR(A46="",G46&lt;&gt;"Eligible"),"",A46+Lists!$E$9)</f>
        <v/>
      </c>
      <c r="J46" s="22"/>
      <c r="K46" s="22"/>
    </row>
    <row r="47" customFormat="false" ht="15" hidden="false" customHeight="false" outlineLevel="0" collapsed="false">
      <c r="A47" s="24"/>
      <c r="B47" s="22"/>
      <c r="C47" s="25" t="str">
        <f aca="false">IF(B47="","",IFERROR(INDEX(Employees!$B$5:$B$200,MATCH(B47,Employees!$A$5:$A$200,0)),"ID not found"))</f>
        <v/>
      </c>
      <c r="D47" s="25" t="str">
        <f aca="false">IF(B47="","",IFERROR(INDEX(Employees!$K$5:$K$200,MATCH(B47,Employees!$A$5:$A$200,0)),"not found"))</f>
        <v/>
      </c>
      <c r="E47" s="25" t="str">
        <f aca="false">IF(B47="","",IFERROR(INDEX(Employees!$I$5:$I$200,MATCH(B47,Employees!$A$5:$A$200,0)),"not found"))</f>
        <v/>
      </c>
      <c r="F47" s="24"/>
      <c r="G47" s="23" t="str">
        <f aca="false">IF(B47="","",IF(E47&lt;&gt;"active","Not eligible: not active",IF(D47&lt;&gt;"Yes","Not eligible: not VDU user",IF(F47="","Eligible",IF(EDATE(F47,Lists!$E$8)&lt;=A47,"Eligible","Not eligible: within gap period")))))</f>
        <v/>
      </c>
      <c r="H47" s="22"/>
      <c r="I47" s="26" t="str">
        <f aca="false">IF(OR(A47="",G47&lt;&gt;"Eligible"),"",A47+Lists!$E$9)</f>
        <v/>
      </c>
      <c r="J47" s="22"/>
      <c r="K47" s="22"/>
    </row>
    <row r="48" customFormat="false" ht="15" hidden="false" customHeight="false" outlineLevel="0" collapsed="false">
      <c r="A48" s="24"/>
      <c r="B48" s="22"/>
      <c r="C48" s="25" t="str">
        <f aca="false">IF(B48="","",IFERROR(INDEX(Employees!$B$5:$B$200,MATCH(B48,Employees!$A$5:$A$200,0)),"ID not found"))</f>
        <v/>
      </c>
      <c r="D48" s="25" t="str">
        <f aca="false">IF(B48="","",IFERROR(INDEX(Employees!$K$5:$K$200,MATCH(B48,Employees!$A$5:$A$200,0)),"not found"))</f>
        <v/>
      </c>
      <c r="E48" s="25" t="str">
        <f aca="false">IF(B48="","",IFERROR(INDEX(Employees!$I$5:$I$200,MATCH(B48,Employees!$A$5:$A$200,0)),"not found"))</f>
        <v/>
      </c>
      <c r="F48" s="24"/>
      <c r="G48" s="23" t="str">
        <f aca="false">IF(B48="","",IF(E48&lt;&gt;"active","Not eligible: not active",IF(D48&lt;&gt;"Yes","Not eligible: not VDU user",IF(F48="","Eligible",IF(EDATE(F48,Lists!$E$8)&lt;=A48,"Eligible","Not eligible: within gap period")))))</f>
        <v/>
      </c>
      <c r="H48" s="22"/>
      <c r="I48" s="26" t="str">
        <f aca="false">IF(OR(A48="",G48&lt;&gt;"Eligible"),"",A48+Lists!$E$9)</f>
        <v/>
      </c>
      <c r="J48" s="22"/>
      <c r="K48" s="22"/>
    </row>
    <row r="49" customFormat="false" ht="15" hidden="false" customHeight="false" outlineLevel="0" collapsed="false">
      <c r="A49" s="24"/>
      <c r="B49" s="22"/>
      <c r="C49" s="25" t="str">
        <f aca="false">IF(B49="","",IFERROR(INDEX(Employees!$B$5:$B$200,MATCH(B49,Employees!$A$5:$A$200,0)),"ID not found"))</f>
        <v/>
      </c>
      <c r="D49" s="25" t="str">
        <f aca="false">IF(B49="","",IFERROR(INDEX(Employees!$K$5:$K$200,MATCH(B49,Employees!$A$5:$A$200,0)),"not found"))</f>
        <v/>
      </c>
      <c r="E49" s="25" t="str">
        <f aca="false">IF(B49="","",IFERROR(INDEX(Employees!$I$5:$I$200,MATCH(B49,Employees!$A$5:$A$200,0)),"not found"))</f>
        <v/>
      </c>
      <c r="F49" s="24"/>
      <c r="G49" s="23" t="str">
        <f aca="false">IF(B49="","",IF(E49&lt;&gt;"active","Not eligible: not active",IF(D49&lt;&gt;"Yes","Not eligible: not VDU user",IF(F49="","Eligible",IF(EDATE(F49,Lists!$E$8)&lt;=A49,"Eligible","Not eligible: within gap period")))))</f>
        <v/>
      </c>
      <c r="H49" s="22"/>
      <c r="I49" s="26" t="str">
        <f aca="false">IF(OR(A49="",G49&lt;&gt;"Eligible"),"",A49+Lists!$E$9)</f>
        <v/>
      </c>
      <c r="J49" s="22"/>
      <c r="K49" s="22"/>
    </row>
    <row r="50" customFormat="false" ht="15" hidden="false" customHeight="false" outlineLevel="0" collapsed="false">
      <c r="A50" s="24"/>
      <c r="B50" s="22"/>
      <c r="C50" s="25" t="str">
        <f aca="false">IF(B50="","",IFERROR(INDEX(Employees!$B$5:$B$200,MATCH(B50,Employees!$A$5:$A$200,0)),"ID not found"))</f>
        <v/>
      </c>
      <c r="D50" s="25" t="str">
        <f aca="false">IF(B50="","",IFERROR(INDEX(Employees!$K$5:$K$200,MATCH(B50,Employees!$A$5:$A$200,0)),"not found"))</f>
        <v/>
      </c>
      <c r="E50" s="25" t="str">
        <f aca="false">IF(B50="","",IFERROR(INDEX(Employees!$I$5:$I$200,MATCH(B50,Employees!$A$5:$A$200,0)),"not found"))</f>
        <v/>
      </c>
      <c r="F50" s="24"/>
      <c r="G50" s="23" t="str">
        <f aca="false">IF(B50="","",IF(E50&lt;&gt;"active","Not eligible: not active",IF(D50&lt;&gt;"Yes","Not eligible: not VDU user",IF(F50="","Eligible",IF(EDATE(F50,Lists!$E$8)&lt;=A50,"Eligible","Not eligible: within gap period")))))</f>
        <v/>
      </c>
      <c r="H50" s="22"/>
      <c r="I50" s="26" t="str">
        <f aca="false">IF(OR(A50="",G50&lt;&gt;"Eligible"),"",A50+Lists!$E$9)</f>
        <v/>
      </c>
      <c r="J50" s="22"/>
      <c r="K50" s="22"/>
    </row>
    <row r="51" customFormat="false" ht="15" hidden="false" customHeight="false" outlineLevel="0" collapsed="false">
      <c r="A51" s="24"/>
      <c r="B51" s="22"/>
      <c r="C51" s="25" t="str">
        <f aca="false">IF(B51="","",IFERROR(INDEX(Employees!$B$5:$B$200,MATCH(B51,Employees!$A$5:$A$200,0)),"ID not found"))</f>
        <v/>
      </c>
      <c r="D51" s="25" t="str">
        <f aca="false">IF(B51="","",IFERROR(INDEX(Employees!$K$5:$K$200,MATCH(B51,Employees!$A$5:$A$200,0)),"not found"))</f>
        <v/>
      </c>
      <c r="E51" s="25" t="str">
        <f aca="false">IF(B51="","",IFERROR(INDEX(Employees!$I$5:$I$200,MATCH(B51,Employees!$A$5:$A$200,0)),"not found"))</f>
        <v/>
      </c>
      <c r="F51" s="24"/>
      <c r="G51" s="23" t="str">
        <f aca="false">IF(B51="","",IF(E51&lt;&gt;"active","Not eligible: not active",IF(D51&lt;&gt;"Yes","Not eligible: not VDU user",IF(F51="","Eligible",IF(EDATE(F51,Lists!$E$8)&lt;=A51,"Eligible","Not eligible: within gap period")))))</f>
        <v/>
      </c>
      <c r="H51" s="22"/>
      <c r="I51" s="26" t="str">
        <f aca="false">IF(OR(A51="",G51&lt;&gt;"Eligible"),"",A51+Lists!$E$9)</f>
        <v/>
      </c>
      <c r="J51" s="22"/>
      <c r="K51" s="22"/>
    </row>
    <row r="52" customFormat="false" ht="15" hidden="false" customHeight="false" outlineLevel="0" collapsed="false">
      <c r="A52" s="24"/>
      <c r="B52" s="22"/>
      <c r="C52" s="25" t="str">
        <f aca="false">IF(B52="","",IFERROR(INDEX(Employees!$B$5:$B$200,MATCH(B52,Employees!$A$5:$A$200,0)),"ID not found"))</f>
        <v/>
      </c>
      <c r="D52" s="25" t="str">
        <f aca="false">IF(B52="","",IFERROR(INDEX(Employees!$K$5:$K$200,MATCH(B52,Employees!$A$5:$A$200,0)),"not found"))</f>
        <v/>
      </c>
      <c r="E52" s="25" t="str">
        <f aca="false">IF(B52="","",IFERROR(INDEX(Employees!$I$5:$I$200,MATCH(B52,Employees!$A$5:$A$200,0)),"not found"))</f>
        <v/>
      </c>
      <c r="F52" s="24"/>
      <c r="G52" s="23" t="str">
        <f aca="false">IF(B52="","",IF(E52&lt;&gt;"active","Not eligible: not active",IF(D52&lt;&gt;"Yes","Not eligible: not VDU user",IF(F52="","Eligible",IF(EDATE(F52,Lists!$E$8)&lt;=A52,"Eligible","Not eligible: within gap period")))))</f>
        <v/>
      </c>
      <c r="H52" s="22"/>
      <c r="I52" s="26" t="str">
        <f aca="false">IF(OR(A52="",G52&lt;&gt;"Eligible"),"",A52+Lists!$E$9)</f>
        <v/>
      </c>
      <c r="J52" s="22"/>
      <c r="K52" s="22"/>
    </row>
    <row r="53" customFormat="false" ht="15" hidden="false" customHeight="false" outlineLevel="0" collapsed="false">
      <c r="A53" s="24"/>
      <c r="B53" s="22"/>
      <c r="C53" s="25" t="str">
        <f aca="false">IF(B53="","",IFERROR(INDEX(Employees!$B$5:$B$200,MATCH(B53,Employees!$A$5:$A$200,0)),"ID not found"))</f>
        <v/>
      </c>
      <c r="D53" s="25" t="str">
        <f aca="false">IF(B53="","",IFERROR(INDEX(Employees!$K$5:$K$200,MATCH(B53,Employees!$A$5:$A$200,0)),"not found"))</f>
        <v/>
      </c>
      <c r="E53" s="25" t="str">
        <f aca="false">IF(B53="","",IFERROR(INDEX(Employees!$I$5:$I$200,MATCH(B53,Employees!$A$5:$A$200,0)),"not found"))</f>
        <v/>
      </c>
      <c r="F53" s="24"/>
      <c r="G53" s="23" t="str">
        <f aca="false">IF(B53="","",IF(E53&lt;&gt;"active","Not eligible: not active",IF(D53&lt;&gt;"Yes","Not eligible: not VDU user",IF(F53="","Eligible",IF(EDATE(F53,Lists!$E$8)&lt;=A53,"Eligible","Not eligible: within gap period")))))</f>
        <v/>
      </c>
      <c r="H53" s="22"/>
      <c r="I53" s="26" t="str">
        <f aca="false">IF(OR(A53="",G53&lt;&gt;"Eligible"),"",A53+Lists!$E$9)</f>
        <v/>
      </c>
      <c r="J53" s="22"/>
      <c r="K53" s="22"/>
    </row>
    <row r="54" customFormat="false" ht="15" hidden="false" customHeight="false" outlineLevel="0" collapsed="false">
      <c r="A54" s="24"/>
      <c r="B54" s="22"/>
      <c r="C54" s="25" t="str">
        <f aca="false">IF(B54="","",IFERROR(INDEX(Employees!$B$5:$B$200,MATCH(B54,Employees!$A$5:$A$200,0)),"ID not found"))</f>
        <v/>
      </c>
      <c r="D54" s="25" t="str">
        <f aca="false">IF(B54="","",IFERROR(INDEX(Employees!$K$5:$K$200,MATCH(B54,Employees!$A$5:$A$200,0)),"not found"))</f>
        <v/>
      </c>
      <c r="E54" s="25" t="str">
        <f aca="false">IF(B54="","",IFERROR(INDEX(Employees!$I$5:$I$200,MATCH(B54,Employees!$A$5:$A$200,0)),"not found"))</f>
        <v/>
      </c>
      <c r="F54" s="24"/>
      <c r="G54" s="23" t="str">
        <f aca="false">IF(B54="","",IF(E54&lt;&gt;"active","Not eligible: not active",IF(D54&lt;&gt;"Yes","Not eligible: not VDU user",IF(F54="","Eligible",IF(EDATE(F54,Lists!$E$8)&lt;=A54,"Eligible","Not eligible: within gap period")))))</f>
        <v/>
      </c>
      <c r="H54" s="22"/>
      <c r="I54" s="26" t="str">
        <f aca="false">IF(OR(A54="",G54&lt;&gt;"Eligible"),"",A54+Lists!$E$9)</f>
        <v/>
      </c>
      <c r="J54" s="22"/>
      <c r="K54" s="22"/>
    </row>
    <row r="55" customFormat="false" ht="15" hidden="false" customHeight="false" outlineLevel="0" collapsed="false">
      <c r="A55" s="24"/>
      <c r="B55" s="22"/>
      <c r="C55" s="25" t="str">
        <f aca="false">IF(B55="","",IFERROR(INDEX(Employees!$B$5:$B$200,MATCH(B55,Employees!$A$5:$A$200,0)),"ID not found"))</f>
        <v/>
      </c>
      <c r="D55" s="25" t="str">
        <f aca="false">IF(B55="","",IFERROR(INDEX(Employees!$K$5:$K$200,MATCH(B55,Employees!$A$5:$A$200,0)),"not found"))</f>
        <v/>
      </c>
      <c r="E55" s="25" t="str">
        <f aca="false">IF(B55="","",IFERROR(INDEX(Employees!$I$5:$I$200,MATCH(B55,Employees!$A$5:$A$200,0)),"not found"))</f>
        <v/>
      </c>
      <c r="F55" s="24"/>
      <c r="G55" s="23" t="str">
        <f aca="false">IF(B55="","",IF(E55&lt;&gt;"active","Not eligible: not active",IF(D55&lt;&gt;"Yes","Not eligible: not VDU user",IF(F55="","Eligible",IF(EDATE(F55,Lists!$E$8)&lt;=A55,"Eligible","Not eligible: within gap period")))))</f>
        <v/>
      </c>
      <c r="H55" s="22"/>
      <c r="I55" s="26" t="str">
        <f aca="false">IF(OR(A55="",G55&lt;&gt;"Eligible"),"",A55+Lists!$E$9)</f>
        <v/>
      </c>
      <c r="J55" s="22"/>
      <c r="K55" s="22"/>
    </row>
    <row r="56" customFormat="false" ht="15" hidden="false" customHeight="false" outlineLevel="0" collapsed="false">
      <c r="A56" s="24"/>
      <c r="B56" s="22"/>
      <c r="C56" s="25" t="str">
        <f aca="false">IF(B56="","",IFERROR(INDEX(Employees!$B$5:$B$200,MATCH(B56,Employees!$A$5:$A$200,0)),"ID not found"))</f>
        <v/>
      </c>
      <c r="D56" s="25" t="str">
        <f aca="false">IF(B56="","",IFERROR(INDEX(Employees!$K$5:$K$200,MATCH(B56,Employees!$A$5:$A$200,0)),"not found"))</f>
        <v/>
      </c>
      <c r="E56" s="25" t="str">
        <f aca="false">IF(B56="","",IFERROR(INDEX(Employees!$I$5:$I$200,MATCH(B56,Employees!$A$5:$A$200,0)),"not found"))</f>
        <v/>
      </c>
      <c r="F56" s="24"/>
      <c r="G56" s="23" t="str">
        <f aca="false">IF(B56="","",IF(E56&lt;&gt;"active","Not eligible: not active",IF(D56&lt;&gt;"Yes","Not eligible: not VDU user",IF(F56="","Eligible",IF(EDATE(F56,Lists!$E$8)&lt;=A56,"Eligible","Not eligible: within gap period")))))</f>
        <v/>
      </c>
      <c r="H56" s="22"/>
      <c r="I56" s="26" t="str">
        <f aca="false">IF(OR(A56="",G56&lt;&gt;"Eligible"),"",A56+Lists!$E$9)</f>
        <v/>
      </c>
      <c r="J56" s="22"/>
      <c r="K56" s="22"/>
    </row>
    <row r="57" customFormat="false" ht="15" hidden="false" customHeight="false" outlineLevel="0" collapsed="false">
      <c r="A57" s="24"/>
      <c r="B57" s="22"/>
      <c r="C57" s="25" t="str">
        <f aca="false">IF(B57="","",IFERROR(INDEX(Employees!$B$5:$B$200,MATCH(B57,Employees!$A$5:$A$200,0)),"ID not found"))</f>
        <v/>
      </c>
      <c r="D57" s="25" t="str">
        <f aca="false">IF(B57="","",IFERROR(INDEX(Employees!$K$5:$K$200,MATCH(B57,Employees!$A$5:$A$200,0)),"not found"))</f>
        <v/>
      </c>
      <c r="E57" s="25" t="str">
        <f aca="false">IF(B57="","",IFERROR(INDEX(Employees!$I$5:$I$200,MATCH(B57,Employees!$A$5:$A$200,0)),"not found"))</f>
        <v/>
      </c>
      <c r="F57" s="24"/>
      <c r="G57" s="23" t="str">
        <f aca="false">IF(B57="","",IF(E57&lt;&gt;"active","Not eligible: not active",IF(D57&lt;&gt;"Yes","Not eligible: not VDU user",IF(F57="","Eligible",IF(EDATE(F57,Lists!$E$8)&lt;=A57,"Eligible","Not eligible: within gap period")))))</f>
        <v/>
      </c>
      <c r="H57" s="22"/>
      <c r="I57" s="26" t="str">
        <f aca="false">IF(OR(A57="",G57&lt;&gt;"Eligible"),"",A57+Lists!$E$9)</f>
        <v/>
      </c>
      <c r="J57" s="22"/>
      <c r="K57" s="22"/>
    </row>
    <row r="58" customFormat="false" ht="15" hidden="false" customHeight="false" outlineLevel="0" collapsed="false">
      <c r="A58" s="24"/>
      <c r="B58" s="22"/>
      <c r="C58" s="25" t="str">
        <f aca="false">IF(B58="","",IFERROR(INDEX(Employees!$B$5:$B$200,MATCH(B58,Employees!$A$5:$A$200,0)),"ID not found"))</f>
        <v/>
      </c>
      <c r="D58" s="25" t="str">
        <f aca="false">IF(B58="","",IFERROR(INDEX(Employees!$K$5:$K$200,MATCH(B58,Employees!$A$5:$A$200,0)),"not found"))</f>
        <v/>
      </c>
      <c r="E58" s="25" t="str">
        <f aca="false">IF(B58="","",IFERROR(INDEX(Employees!$I$5:$I$200,MATCH(B58,Employees!$A$5:$A$200,0)),"not found"))</f>
        <v/>
      </c>
      <c r="F58" s="24"/>
      <c r="G58" s="23" t="str">
        <f aca="false">IF(B58="","",IF(E58&lt;&gt;"active","Not eligible: not active",IF(D58&lt;&gt;"Yes","Not eligible: not VDU user",IF(F58="","Eligible",IF(EDATE(F58,Lists!$E$8)&lt;=A58,"Eligible","Not eligible: within gap period")))))</f>
        <v/>
      </c>
      <c r="H58" s="22"/>
      <c r="I58" s="26" t="str">
        <f aca="false">IF(OR(A58="",G58&lt;&gt;"Eligible"),"",A58+Lists!$E$9)</f>
        <v/>
      </c>
      <c r="J58" s="22"/>
      <c r="K58" s="22"/>
    </row>
    <row r="59" customFormat="false" ht="15" hidden="false" customHeight="false" outlineLevel="0" collapsed="false">
      <c r="A59" s="24"/>
      <c r="B59" s="22"/>
      <c r="C59" s="25" t="str">
        <f aca="false">IF(B59="","",IFERROR(INDEX(Employees!$B$5:$B$200,MATCH(B59,Employees!$A$5:$A$200,0)),"ID not found"))</f>
        <v/>
      </c>
      <c r="D59" s="25" t="str">
        <f aca="false">IF(B59="","",IFERROR(INDEX(Employees!$K$5:$K$200,MATCH(B59,Employees!$A$5:$A$200,0)),"not found"))</f>
        <v/>
      </c>
      <c r="E59" s="25" t="str">
        <f aca="false">IF(B59="","",IFERROR(INDEX(Employees!$I$5:$I$200,MATCH(B59,Employees!$A$5:$A$200,0)),"not found"))</f>
        <v/>
      </c>
      <c r="F59" s="24"/>
      <c r="G59" s="23" t="str">
        <f aca="false">IF(B59="","",IF(E59&lt;&gt;"active","Not eligible: not active",IF(D59&lt;&gt;"Yes","Not eligible: not VDU user",IF(F59="","Eligible",IF(EDATE(F59,Lists!$E$8)&lt;=A59,"Eligible","Not eligible: within gap period")))))</f>
        <v/>
      </c>
      <c r="H59" s="22"/>
      <c r="I59" s="26" t="str">
        <f aca="false">IF(OR(A59="",G59&lt;&gt;"Eligible"),"",A59+Lists!$E$9)</f>
        <v/>
      </c>
      <c r="J59" s="22"/>
      <c r="K59" s="22"/>
    </row>
    <row r="60" customFormat="false" ht="15" hidden="false" customHeight="false" outlineLevel="0" collapsed="false">
      <c r="A60" s="24"/>
      <c r="B60" s="22"/>
      <c r="C60" s="25" t="str">
        <f aca="false">IF(B60="","",IFERROR(INDEX(Employees!$B$5:$B$200,MATCH(B60,Employees!$A$5:$A$200,0)),"ID not found"))</f>
        <v/>
      </c>
      <c r="D60" s="25" t="str">
        <f aca="false">IF(B60="","",IFERROR(INDEX(Employees!$K$5:$K$200,MATCH(B60,Employees!$A$5:$A$200,0)),"not found"))</f>
        <v/>
      </c>
      <c r="E60" s="25" t="str">
        <f aca="false">IF(B60="","",IFERROR(INDEX(Employees!$I$5:$I$200,MATCH(B60,Employees!$A$5:$A$200,0)),"not found"))</f>
        <v/>
      </c>
      <c r="F60" s="24"/>
      <c r="G60" s="23" t="str">
        <f aca="false">IF(B60="","",IF(E60&lt;&gt;"active","Not eligible: not active",IF(D60&lt;&gt;"Yes","Not eligible: not VDU user",IF(F60="","Eligible",IF(EDATE(F60,Lists!$E$8)&lt;=A60,"Eligible","Not eligible: within gap period")))))</f>
        <v/>
      </c>
      <c r="H60" s="22"/>
      <c r="I60" s="26" t="str">
        <f aca="false">IF(OR(A60="",G60&lt;&gt;"Eligible"),"",A60+Lists!$E$9)</f>
        <v/>
      </c>
      <c r="J60" s="22"/>
      <c r="K60" s="22"/>
    </row>
    <row r="61" customFormat="false" ht="15" hidden="false" customHeight="false" outlineLevel="0" collapsed="false">
      <c r="A61" s="24"/>
      <c r="B61" s="22"/>
      <c r="C61" s="25" t="str">
        <f aca="false">IF(B61="","",IFERROR(INDEX(Employees!$B$5:$B$200,MATCH(B61,Employees!$A$5:$A$200,0)),"ID not found"))</f>
        <v/>
      </c>
      <c r="D61" s="25" t="str">
        <f aca="false">IF(B61="","",IFERROR(INDEX(Employees!$K$5:$K$200,MATCH(B61,Employees!$A$5:$A$200,0)),"not found"))</f>
        <v/>
      </c>
      <c r="E61" s="25" t="str">
        <f aca="false">IF(B61="","",IFERROR(INDEX(Employees!$I$5:$I$200,MATCH(B61,Employees!$A$5:$A$200,0)),"not found"))</f>
        <v/>
      </c>
      <c r="F61" s="24"/>
      <c r="G61" s="23" t="str">
        <f aca="false">IF(B61="","",IF(E61&lt;&gt;"active","Not eligible: not active",IF(D61&lt;&gt;"Yes","Not eligible: not VDU user",IF(F61="","Eligible",IF(EDATE(F61,Lists!$E$8)&lt;=A61,"Eligible","Not eligible: within gap period")))))</f>
        <v/>
      </c>
      <c r="H61" s="22"/>
      <c r="I61" s="26" t="str">
        <f aca="false">IF(OR(A61="",G61&lt;&gt;"Eligible"),"",A61+Lists!$E$9)</f>
        <v/>
      </c>
      <c r="J61" s="22"/>
      <c r="K61" s="22"/>
    </row>
    <row r="62" customFormat="false" ht="15" hidden="false" customHeight="false" outlineLevel="0" collapsed="false">
      <c r="A62" s="24"/>
      <c r="B62" s="22"/>
      <c r="C62" s="25" t="str">
        <f aca="false">IF(B62="","",IFERROR(INDEX(Employees!$B$5:$B$200,MATCH(B62,Employees!$A$5:$A$200,0)),"ID not found"))</f>
        <v/>
      </c>
      <c r="D62" s="25" t="str">
        <f aca="false">IF(B62="","",IFERROR(INDEX(Employees!$K$5:$K$200,MATCH(B62,Employees!$A$5:$A$200,0)),"not found"))</f>
        <v/>
      </c>
      <c r="E62" s="25" t="str">
        <f aca="false">IF(B62="","",IFERROR(INDEX(Employees!$I$5:$I$200,MATCH(B62,Employees!$A$5:$A$200,0)),"not found"))</f>
        <v/>
      </c>
      <c r="F62" s="24"/>
      <c r="G62" s="23" t="str">
        <f aca="false">IF(B62="","",IF(E62&lt;&gt;"active","Not eligible: not active",IF(D62&lt;&gt;"Yes","Not eligible: not VDU user",IF(F62="","Eligible",IF(EDATE(F62,Lists!$E$8)&lt;=A62,"Eligible","Not eligible: within gap period")))))</f>
        <v/>
      </c>
      <c r="H62" s="22"/>
      <c r="I62" s="26" t="str">
        <f aca="false">IF(OR(A62="",G62&lt;&gt;"Eligible"),"",A62+Lists!$E$9)</f>
        <v/>
      </c>
      <c r="J62" s="22"/>
      <c r="K62" s="22"/>
    </row>
    <row r="63" customFormat="false" ht="15" hidden="false" customHeight="false" outlineLevel="0" collapsed="false">
      <c r="A63" s="24"/>
      <c r="B63" s="22"/>
      <c r="C63" s="25" t="str">
        <f aca="false">IF(B63="","",IFERROR(INDEX(Employees!$B$5:$B$200,MATCH(B63,Employees!$A$5:$A$200,0)),"ID not found"))</f>
        <v/>
      </c>
      <c r="D63" s="25" t="str">
        <f aca="false">IF(B63="","",IFERROR(INDEX(Employees!$K$5:$K$200,MATCH(B63,Employees!$A$5:$A$200,0)),"not found"))</f>
        <v/>
      </c>
      <c r="E63" s="25" t="str">
        <f aca="false">IF(B63="","",IFERROR(INDEX(Employees!$I$5:$I$200,MATCH(B63,Employees!$A$5:$A$200,0)),"not found"))</f>
        <v/>
      </c>
      <c r="F63" s="24"/>
      <c r="G63" s="23" t="str">
        <f aca="false">IF(B63="","",IF(E63&lt;&gt;"active","Not eligible: not active",IF(D63&lt;&gt;"Yes","Not eligible: not VDU user",IF(F63="","Eligible",IF(EDATE(F63,Lists!$E$8)&lt;=A63,"Eligible","Not eligible: within gap period")))))</f>
        <v/>
      </c>
      <c r="H63" s="22"/>
      <c r="I63" s="26" t="str">
        <f aca="false">IF(OR(A63="",G63&lt;&gt;"Eligible"),"",A63+Lists!$E$9)</f>
        <v/>
      </c>
      <c r="J63" s="22"/>
      <c r="K63" s="22"/>
    </row>
    <row r="64" customFormat="false" ht="15" hidden="false" customHeight="false" outlineLevel="0" collapsed="false">
      <c r="A64" s="24"/>
      <c r="B64" s="22"/>
      <c r="C64" s="25" t="str">
        <f aca="false">IF(B64="","",IFERROR(INDEX(Employees!$B$5:$B$200,MATCH(B64,Employees!$A$5:$A$200,0)),"ID not found"))</f>
        <v/>
      </c>
      <c r="D64" s="25" t="str">
        <f aca="false">IF(B64="","",IFERROR(INDEX(Employees!$K$5:$K$200,MATCH(B64,Employees!$A$5:$A$200,0)),"not found"))</f>
        <v/>
      </c>
      <c r="E64" s="25" t="str">
        <f aca="false">IF(B64="","",IFERROR(INDEX(Employees!$I$5:$I$200,MATCH(B64,Employees!$A$5:$A$200,0)),"not found"))</f>
        <v/>
      </c>
      <c r="F64" s="24"/>
      <c r="G64" s="23" t="str">
        <f aca="false">IF(B64="","",IF(E64&lt;&gt;"active","Not eligible: not active",IF(D64&lt;&gt;"Yes","Not eligible: not VDU user",IF(F64="","Eligible",IF(EDATE(F64,Lists!$E$8)&lt;=A64,"Eligible","Not eligible: within gap period")))))</f>
        <v/>
      </c>
      <c r="H64" s="22"/>
      <c r="I64" s="26" t="str">
        <f aca="false">IF(OR(A64="",G64&lt;&gt;"Eligible"),"",A64+Lists!$E$9)</f>
        <v/>
      </c>
      <c r="J64" s="22"/>
      <c r="K64" s="22"/>
    </row>
    <row r="65" customFormat="false" ht="15" hidden="false" customHeight="false" outlineLevel="0" collapsed="false">
      <c r="A65" s="24"/>
      <c r="B65" s="22"/>
      <c r="C65" s="25" t="str">
        <f aca="false">IF(B65="","",IFERROR(INDEX(Employees!$B$5:$B$200,MATCH(B65,Employees!$A$5:$A$200,0)),"ID not found"))</f>
        <v/>
      </c>
      <c r="D65" s="25" t="str">
        <f aca="false">IF(B65="","",IFERROR(INDEX(Employees!$K$5:$K$200,MATCH(B65,Employees!$A$5:$A$200,0)),"not found"))</f>
        <v/>
      </c>
      <c r="E65" s="25" t="str">
        <f aca="false">IF(B65="","",IFERROR(INDEX(Employees!$I$5:$I$200,MATCH(B65,Employees!$A$5:$A$200,0)),"not found"))</f>
        <v/>
      </c>
      <c r="F65" s="24"/>
      <c r="G65" s="23" t="str">
        <f aca="false">IF(B65="","",IF(E65&lt;&gt;"active","Not eligible: not active",IF(D65&lt;&gt;"Yes","Not eligible: not VDU user",IF(F65="","Eligible",IF(EDATE(F65,Lists!$E$8)&lt;=A65,"Eligible","Not eligible: within gap period")))))</f>
        <v/>
      </c>
      <c r="H65" s="22"/>
      <c r="I65" s="26" t="str">
        <f aca="false">IF(OR(A65="",G65&lt;&gt;"Eligible"),"",A65+Lists!$E$9)</f>
        <v/>
      </c>
      <c r="J65" s="22"/>
      <c r="K65" s="22"/>
    </row>
    <row r="66" customFormat="false" ht="15" hidden="false" customHeight="false" outlineLevel="0" collapsed="false">
      <c r="A66" s="24"/>
      <c r="B66" s="22"/>
      <c r="C66" s="25" t="str">
        <f aca="false">IF(B66="","",IFERROR(INDEX(Employees!$B$5:$B$200,MATCH(B66,Employees!$A$5:$A$200,0)),"ID not found"))</f>
        <v/>
      </c>
      <c r="D66" s="25" t="str">
        <f aca="false">IF(B66="","",IFERROR(INDEX(Employees!$K$5:$K$200,MATCH(B66,Employees!$A$5:$A$200,0)),"not found"))</f>
        <v/>
      </c>
      <c r="E66" s="25" t="str">
        <f aca="false">IF(B66="","",IFERROR(INDEX(Employees!$I$5:$I$200,MATCH(B66,Employees!$A$5:$A$200,0)),"not found"))</f>
        <v/>
      </c>
      <c r="F66" s="24"/>
      <c r="G66" s="23" t="str">
        <f aca="false">IF(B66="","",IF(E66&lt;&gt;"active","Not eligible: not active",IF(D66&lt;&gt;"Yes","Not eligible: not VDU user",IF(F66="","Eligible",IF(EDATE(F66,Lists!$E$8)&lt;=A66,"Eligible","Not eligible: within gap period")))))</f>
        <v/>
      </c>
      <c r="H66" s="22"/>
      <c r="I66" s="26" t="str">
        <f aca="false">IF(OR(A66="",G66&lt;&gt;"Eligible"),"",A66+Lists!$E$9)</f>
        <v/>
      </c>
      <c r="J66" s="22"/>
      <c r="K66" s="22"/>
    </row>
    <row r="67" customFormat="false" ht="15" hidden="false" customHeight="false" outlineLevel="0" collapsed="false">
      <c r="A67" s="24"/>
      <c r="B67" s="22"/>
      <c r="C67" s="25" t="str">
        <f aca="false">IF(B67="","",IFERROR(INDEX(Employees!$B$5:$B$200,MATCH(B67,Employees!$A$5:$A$200,0)),"ID not found"))</f>
        <v/>
      </c>
      <c r="D67" s="25" t="str">
        <f aca="false">IF(B67="","",IFERROR(INDEX(Employees!$K$5:$K$200,MATCH(B67,Employees!$A$5:$A$200,0)),"not found"))</f>
        <v/>
      </c>
      <c r="E67" s="25" t="str">
        <f aca="false">IF(B67="","",IFERROR(INDEX(Employees!$I$5:$I$200,MATCH(B67,Employees!$A$5:$A$200,0)),"not found"))</f>
        <v/>
      </c>
      <c r="F67" s="24"/>
      <c r="G67" s="23" t="str">
        <f aca="false">IF(B67="","",IF(E67&lt;&gt;"active","Not eligible: not active",IF(D67&lt;&gt;"Yes","Not eligible: not VDU user",IF(F67="","Eligible",IF(EDATE(F67,Lists!$E$8)&lt;=A67,"Eligible","Not eligible: within gap period")))))</f>
        <v/>
      </c>
      <c r="H67" s="22"/>
      <c r="I67" s="26" t="str">
        <f aca="false">IF(OR(A67="",G67&lt;&gt;"Eligible"),"",A67+Lists!$E$9)</f>
        <v/>
      </c>
      <c r="J67" s="22"/>
      <c r="K67" s="22"/>
    </row>
    <row r="68" customFormat="false" ht="15" hidden="false" customHeight="false" outlineLevel="0" collapsed="false">
      <c r="A68" s="24"/>
      <c r="B68" s="22"/>
      <c r="C68" s="25" t="str">
        <f aca="false">IF(B68="","",IFERROR(INDEX(Employees!$B$5:$B$200,MATCH(B68,Employees!$A$5:$A$200,0)),"ID not found"))</f>
        <v/>
      </c>
      <c r="D68" s="25" t="str">
        <f aca="false">IF(B68="","",IFERROR(INDEX(Employees!$K$5:$K$200,MATCH(B68,Employees!$A$5:$A$200,0)),"not found"))</f>
        <v/>
      </c>
      <c r="E68" s="25" t="str">
        <f aca="false">IF(B68="","",IFERROR(INDEX(Employees!$I$5:$I$200,MATCH(B68,Employees!$A$5:$A$200,0)),"not found"))</f>
        <v/>
      </c>
      <c r="F68" s="24"/>
      <c r="G68" s="23" t="str">
        <f aca="false">IF(B68="","",IF(E68&lt;&gt;"active","Not eligible: not active",IF(D68&lt;&gt;"Yes","Not eligible: not VDU user",IF(F68="","Eligible",IF(EDATE(F68,Lists!$E$8)&lt;=A68,"Eligible","Not eligible: within gap period")))))</f>
        <v/>
      </c>
      <c r="H68" s="22"/>
      <c r="I68" s="26" t="str">
        <f aca="false">IF(OR(A68="",G68&lt;&gt;"Eligible"),"",A68+Lists!$E$9)</f>
        <v/>
      </c>
      <c r="J68" s="22"/>
      <c r="K68" s="22"/>
    </row>
    <row r="69" customFormat="false" ht="15" hidden="false" customHeight="false" outlineLevel="0" collapsed="false">
      <c r="A69" s="24"/>
      <c r="B69" s="22"/>
      <c r="C69" s="25" t="str">
        <f aca="false">IF(B69="","",IFERROR(INDEX(Employees!$B$5:$B$200,MATCH(B69,Employees!$A$5:$A$200,0)),"ID not found"))</f>
        <v/>
      </c>
      <c r="D69" s="25" t="str">
        <f aca="false">IF(B69="","",IFERROR(INDEX(Employees!$K$5:$K$200,MATCH(B69,Employees!$A$5:$A$200,0)),"not found"))</f>
        <v/>
      </c>
      <c r="E69" s="25" t="str">
        <f aca="false">IF(B69="","",IFERROR(INDEX(Employees!$I$5:$I$200,MATCH(B69,Employees!$A$5:$A$200,0)),"not found"))</f>
        <v/>
      </c>
      <c r="F69" s="24"/>
      <c r="G69" s="23" t="str">
        <f aca="false">IF(B69="","",IF(E69&lt;&gt;"active","Not eligible: not active",IF(D69&lt;&gt;"Yes","Not eligible: not VDU user",IF(F69="","Eligible",IF(EDATE(F69,Lists!$E$8)&lt;=A69,"Eligible","Not eligible: within gap period")))))</f>
        <v/>
      </c>
      <c r="H69" s="22"/>
      <c r="I69" s="26" t="str">
        <f aca="false">IF(OR(A69="",G69&lt;&gt;"Eligible"),"",A69+Lists!$E$9)</f>
        <v/>
      </c>
      <c r="J69" s="22"/>
      <c r="K69" s="22"/>
    </row>
    <row r="70" customFormat="false" ht="15" hidden="false" customHeight="false" outlineLevel="0" collapsed="false">
      <c r="A70" s="24"/>
      <c r="B70" s="22"/>
      <c r="C70" s="25" t="str">
        <f aca="false">IF(B70="","",IFERROR(INDEX(Employees!$B$5:$B$200,MATCH(B70,Employees!$A$5:$A$200,0)),"ID not found"))</f>
        <v/>
      </c>
      <c r="D70" s="25" t="str">
        <f aca="false">IF(B70="","",IFERROR(INDEX(Employees!$K$5:$K$200,MATCH(B70,Employees!$A$5:$A$200,0)),"not found"))</f>
        <v/>
      </c>
      <c r="E70" s="25" t="str">
        <f aca="false">IF(B70="","",IFERROR(INDEX(Employees!$I$5:$I$200,MATCH(B70,Employees!$A$5:$A$200,0)),"not found"))</f>
        <v/>
      </c>
      <c r="F70" s="24"/>
      <c r="G70" s="23" t="str">
        <f aca="false">IF(B70="","",IF(E70&lt;&gt;"active","Not eligible: not active",IF(D70&lt;&gt;"Yes","Not eligible: not VDU user",IF(F70="","Eligible",IF(EDATE(F70,Lists!$E$8)&lt;=A70,"Eligible","Not eligible: within gap period")))))</f>
        <v/>
      </c>
      <c r="H70" s="22"/>
      <c r="I70" s="26" t="str">
        <f aca="false">IF(OR(A70="",G70&lt;&gt;"Eligible"),"",A70+Lists!$E$9)</f>
        <v/>
      </c>
      <c r="J70" s="22"/>
      <c r="K70" s="22"/>
    </row>
    <row r="71" customFormat="false" ht="15" hidden="false" customHeight="false" outlineLevel="0" collapsed="false">
      <c r="A71" s="24"/>
      <c r="B71" s="22"/>
      <c r="C71" s="25" t="str">
        <f aca="false">IF(B71="","",IFERROR(INDEX(Employees!$B$5:$B$200,MATCH(B71,Employees!$A$5:$A$200,0)),"ID not found"))</f>
        <v/>
      </c>
      <c r="D71" s="25" t="str">
        <f aca="false">IF(B71="","",IFERROR(INDEX(Employees!$K$5:$K$200,MATCH(B71,Employees!$A$5:$A$200,0)),"not found"))</f>
        <v/>
      </c>
      <c r="E71" s="25" t="str">
        <f aca="false">IF(B71="","",IFERROR(INDEX(Employees!$I$5:$I$200,MATCH(B71,Employees!$A$5:$A$200,0)),"not found"))</f>
        <v/>
      </c>
      <c r="F71" s="24"/>
      <c r="G71" s="23" t="str">
        <f aca="false">IF(B71="","",IF(E71&lt;&gt;"active","Not eligible: not active",IF(D71&lt;&gt;"Yes","Not eligible: not VDU user",IF(F71="","Eligible",IF(EDATE(F71,Lists!$E$8)&lt;=A71,"Eligible","Not eligible: within gap period")))))</f>
        <v/>
      </c>
      <c r="H71" s="22"/>
      <c r="I71" s="26" t="str">
        <f aca="false">IF(OR(A71="",G71&lt;&gt;"Eligible"),"",A71+Lists!$E$9)</f>
        <v/>
      </c>
      <c r="J71" s="22"/>
      <c r="K71" s="22"/>
    </row>
    <row r="72" customFormat="false" ht="15" hidden="false" customHeight="false" outlineLevel="0" collapsed="false">
      <c r="A72" s="24"/>
      <c r="B72" s="22"/>
      <c r="C72" s="25" t="str">
        <f aca="false">IF(B72="","",IFERROR(INDEX(Employees!$B$5:$B$200,MATCH(B72,Employees!$A$5:$A$200,0)),"ID not found"))</f>
        <v/>
      </c>
      <c r="D72" s="25" t="str">
        <f aca="false">IF(B72="","",IFERROR(INDEX(Employees!$K$5:$K$200,MATCH(B72,Employees!$A$5:$A$200,0)),"not found"))</f>
        <v/>
      </c>
      <c r="E72" s="25" t="str">
        <f aca="false">IF(B72="","",IFERROR(INDEX(Employees!$I$5:$I$200,MATCH(B72,Employees!$A$5:$A$200,0)),"not found"))</f>
        <v/>
      </c>
      <c r="F72" s="24"/>
      <c r="G72" s="23" t="str">
        <f aca="false">IF(B72="","",IF(E72&lt;&gt;"active","Not eligible: not active",IF(D72&lt;&gt;"Yes","Not eligible: not VDU user",IF(F72="","Eligible",IF(EDATE(F72,Lists!$E$8)&lt;=A72,"Eligible","Not eligible: within gap period")))))</f>
        <v/>
      </c>
      <c r="H72" s="22"/>
      <c r="I72" s="26" t="str">
        <f aca="false">IF(OR(A72="",G72&lt;&gt;"Eligible"),"",A72+Lists!$E$9)</f>
        <v/>
      </c>
      <c r="J72" s="22"/>
      <c r="K72" s="22"/>
    </row>
    <row r="73" customFormat="false" ht="15" hidden="false" customHeight="false" outlineLevel="0" collapsed="false">
      <c r="A73" s="24"/>
      <c r="B73" s="22"/>
      <c r="C73" s="25" t="str">
        <f aca="false">IF(B73="","",IFERROR(INDEX(Employees!$B$5:$B$200,MATCH(B73,Employees!$A$5:$A$200,0)),"ID not found"))</f>
        <v/>
      </c>
      <c r="D73" s="25" t="str">
        <f aca="false">IF(B73="","",IFERROR(INDEX(Employees!$K$5:$K$200,MATCH(B73,Employees!$A$5:$A$200,0)),"not found"))</f>
        <v/>
      </c>
      <c r="E73" s="25" t="str">
        <f aca="false">IF(B73="","",IFERROR(INDEX(Employees!$I$5:$I$200,MATCH(B73,Employees!$A$5:$A$200,0)),"not found"))</f>
        <v/>
      </c>
      <c r="F73" s="24"/>
      <c r="G73" s="23" t="str">
        <f aca="false">IF(B73="","",IF(E73&lt;&gt;"active","Not eligible: not active",IF(D73&lt;&gt;"Yes","Not eligible: not VDU user",IF(F73="","Eligible",IF(EDATE(F73,Lists!$E$8)&lt;=A73,"Eligible","Not eligible: within gap period")))))</f>
        <v/>
      </c>
      <c r="H73" s="22"/>
      <c r="I73" s="26" t="str">
        <f aca="false">IF(OR(A73="",G73&lt;&gt;"Eligible"),"",A73+Lists!$E$9)</f>
        <v/>
      </c>
      <c r="J73" s="22"/>
      <c r="K73" s="22"/>
    </row>
    <row r="74" customFormat="false" ht="15" hidden="false" customHeight="false" outlineLevel="0" collapsed="false">
      <c r="A74" s="24"/>
      <c r="B74" s="22"/>
      <c r="C74" s="25" t="str">
        <f aca="false">IF(B74="","",IFERROR(INDEX(Employees!$B$5:$B$200,MATCH(B74,Employees!$A$5:$A$200,0)),"ID not found"))</f>
        <v/>
      </c>
      <c r="D74" s="25" t="str">
        <f aca="false">IF(B74="","",IFERROR(INDEX(Employees!$K$5:$K$200,MATCH(B74,Employees!$A$5:$A$200,0)),"not found"))</f>
        <v/>
      </c>
      <c r="E74" s="25" t="str">
        <f aca="false">IF(B74="","",IFERROR(INDEX(Employees!$I$5:$I$200,MATCH(B74,Employees!$A$5:$A$200,0)),"not found"))</f>
        <v/>
      </c>
      <c r="F74" s="24"/>
      <c r="G74" s="23" t="str">
        <f aca="false">IF(B74="","",IF(E74&lt;&gt;"active","Not eligible: not active",IF(D74&lt;&gt;"Yes","Not eligible: not VDU user",IF(F74="","Eligible",IF(EDATE(F74,Lists!$E$8)&lt;=A74,"Eligible","Not eligible: within gap period")))))</f>
        <v/>
      </c>
      <c r="H74" s="22"/>
      <c r="I74" s="26" t="str">
        <f aca="false">IF(OR(A74="",G74&lt;&gt;"Eligible"),"",A74+Lists!$E$9)</f>
        <v/>
      </c>
      <c r="J74" s="22"/>
      <c r="K74" s="22"/>
    </row>
    <row r="75" customFormat="false" ht="15" hidden="false" customHeight="false" outlineLevel="0" collapsed="false">
      <c r="A75" s="24"/>
      <c r="B75" s="22"/>
      <c r="C75" s="25" t="str">
        <f aca="false">IF(B75="","",IFERROR(INDEX(Employees!$B$5:$B$200,MATCH(B75,Employees!$A$5:$A$200,0)),"ID not found"))</f>
        <v/>
      </c>
      <c r="D75" s="25" t="str">
        <f aca="false">IF(B75="","",IFERROR(INDEX(Employees!$K$5:$K$200,MATCH(B75,Employees!$A$5:$A$200,0)),"not found"))</f>
        <v/>
      </c>
      <c r="E75" s="25" t="str">
        <f aca="false">IF(B75="","",IFERROR(INDEX(Employees!$I$5:$I$200,MATCH(B75,Employees!$A$5:$A$200,0)),"not found"))</f>
        <v/>
      </c>
      <c r="F75" s="24"/>
      <c r="G75" s="23" t="str">
        <f aca="false">IF(B75="","",IF(E75&lt;&gt;"active","Not eligible: not active",IF(D75&lt;&gt;"Yes","Not eligible: not VDU user",IF(F75="","Eligible",IF(EDATE(F75,Lists!$E$8)&lt;=A75,"Eligible","Not eligible: within gap period")))))</f>
        <v/>
      </c>
      <c r="H75" s="22"/>
      <c r="I75" s="26" t="str">
        <f aca="false">IF(OR(A75="",G75&lt;&gt;"Eligible"),"",A75+Lists!$E$9)</f>
        <v/>
      </c>
      <c r="J75" s="22"/>
      <c r="K75" s="22"/>
    </row>
    <row r="76" customFormat="false" ht="15" hidden="false" customHeight="false" outlineLevel="0" collapsed="false">
      <c r="A76" s="24"/>
      <c r="B76" s="22"/>
      <c r="C76" s="25" t="str">
        <f aca="false">IF(B76="","",IFERROR(INDEX(Employees!$B$5:$B$200,MATCH(B76,Employees!$A$5:$A$200,0)),"ID not found"))</f>
        <v/>
      </c>
      <c r="D76" s="25" t="str">
        <f aca="false">IF(B76="","",IFERROR(INDEX(Employees!$K$5:$K$200,MATCH(B76,Employees!$A$5:$A$200,0)),"not found"))</f>
        <v/>
      </c>
      <c r="E76" s="25" t="str">
        <f aca="false">IF(B76="","",IFERROR(INDEX(Employees!$I$5:$I$200,MATCH(B76,Employees!$A$5:$A$200,0)),"not found"))</f>
        <v/>
      </c>
      <c r="F76" s="24"/>
      <c r="G76" s="23" t="str">
        <f aca="false">IF(B76="","",IF(E76&lt;&gt;"active","Not eligible: not active",IF(D76&lt;&gt;"Yes","Not eligible: not VDU user",IF(F76="","Eligible",IF(EDATE(F76,Lists!$E$8)&lt;=A76,"Eligible","Not eligible: within gap period")))))</f>
        <v/>
      </c>
      <c r="H76" s="22"/>
      <c r="I76" s="26" t="str">
        <f aca="false">IF(OR(A76="",G76&lt;&gt;"Eligible"),"",A76+Lists!$E$9)</f>
        <v/>
      </c>
      <c r="J76" s="22"/>
      <c r="K76" s="22"/>
    </row>
    <row r="77" customFormat="false" ht="15" hidden="false" customHeight="false" outlineLevel="0" collapsed="false">
      <c r="A77" s="24"/>
      <c r="B77" s="22"/>
      <c r="C77" s="25" t="str">
        <f aca="false">IF(B77="","",IFERROR(INDEX(Employees!$B$5:$B$200,MATCH(B77,Employees!$A$5:$A$200,0)),"ID not found"))</f>
        <v/>
      </c>
      <c r="D77" s="25" t="str">
        <f aca="false">IF(B77="","",IFERROR(INDEX(Employees!$K$5:$K$200,MATCH(B77,Employees!$A$5:$A$200,0)),"not found"))</f>
        <v/>
      </c>
      <c r="E77" s="25" t="str">
        <f aca="false">IF(B77="","",IFERROR(INDEX(Employees!$I$5:$I$200,MATCH(B77,Employees!$A$5:$A$200,0)),"not found"))</f>
        <v/>
      </c>
      <c r="F77" s="24"/>
      <c r="G77" s="23" t="str">
        <f aca="false">IF(B77="","",IF(E77&lt;&gt;"active","Not eligible: not active",IF(D77&lt;&gt;"Yes","Not eligible: not VDU user",IF(F77="","Eligible",IF(EDATE(F77,Lists!$E$8)&lt;=A77,"Eligible","Not eligible: within gap period")))))</f>
        <v/>
      </c>
      <c r="H77" s="22"/>
      <c r="I77" s="26" t="str">
        <f aca="false">IF(OR(A77="",G77&lt;&gt;"Eligible"),"",A77+Lists!$E$9)</f>
        <v/>
      </c>
      <c r="J77" s="22"/>
      <c r="K77" s="22"/>
    </row>
    <row r="78" customFormat="false" ht="15" hidden="false" customHeight="false" outlineLevel="0" collapsed="false">
      <c r="A78" s="24"/>
      <c r="B78" s="22"/>
      <c r="C78" s="25" t="str">
        <f aca="false">IF(B78="","",IFERROR(INDEX(Employees!$B$5:$B$200,MATCH(B78,Employees!$A$5:$A$200,0)),"ID not found"))</f>
        <v/>
      </c>
      <c r="D78" s="25" t="str">
        <f aca="false">IF(B78="","",IFERROR(INDEX(Employees!$K$5:$K$200,MATCH(B78,Employees!$A$5:$A$200,0)),"not found"))</f>
        <v/>
      </c>
      <c r="E78" s="25" t="str">
        <f aca="false">IF(B78="","",IFERROR(INDEX(Employees!$I$5:$I$200,MATCH(B78,Employees!$A$5:$A$200,0)),"not found"))</f>
        <v/>
      </c>
      <c r="F78" s="24"/>
      <c r="G78" s="23" t="str">
        <f aca="false">IF(B78="","",IF(E78&lt;&gt;"active","Not eligible: not active",IF(D78&lt;&gt;"Yes","Not eligible: not VDU user",IF(F78="","Eligible",IF(EDATE(F78,Lists!$E$8)&lt;=A78,"Eligible","Not eligible: within gap period")))))</f>
        <v/>
      </c>
      <c r="H78" s="22"/>
      <c r="I78" s="26" t="str">
        <f aca="false">IF(OR(A78="",G78&lt;&gt;"Eligible"),"",A78+Lists!$E$9)</f>
        <v/>
      </c>
      <c r="J78" s="22"/>
      <c r="K78" s="22"/>
    </row>
    <row r="79" customFormat="false" ht="15" hidden="false" customHeight="false" outlineLevel="0" collapsed="false">
      <c r="A79" s="24"/>
      <c r="B79" s="22"/>
      <c r="C79" s="25" t="str">
        <f aca="false">IF(B79="","",IFERROR(INDEX(Employees!$B$5:$B$200,MATCH(B79,Employees!$A$5:$A$200,0)),"ID not found"))</f>
        <v/>
      </c>
      <c r="D79" s="25" t="str">
        <f aca="false">IF(B79="","",IFERROR(INDEX(Employees!$K$5:$K$200,MATCH(B79,Employees!$A$5:$A$200,0)),"not found"))</f>
        <v/>
      </c>
      <c r="E79" s="25" t="str">
        <f aca="false">IF(B79="","",IFERROR(INDEX(Employees!$I$5:$I$200,MATCH(B79,Employees!$A$5:$A$200,0)),"not found"))</f>
        <v/>
      </c>
      <c r="F79" s="24"/>
      <c r="G79" s="23" t="str">
        <f aca="false">IF(B79="","",IF(E79&lt;&gt;"active","Not eligible: not active",IF(D79&lt;&gt;"Yes","Not eligible: not VDU user",IF(F79="","Eligible",IF(EDATE(F79,Lists!$E$8)&lt;=A79,"Eligible","Not eligible: within gap period")))))</f>
        <v/>
      </c>
      <c r="H79" s="22"/>
      <c r="I79" s="26" t="str">
        <f aca="false">IF(OR(A79="",G79&lt;&gt;"Eligible"),"",A79+Lists!$E$9)</f>
        <v/>
      </c>
      <c r="J79" s="22"/>
      <c r="K79" s="22"/>
    </row>
    <row r="80" customFormat="false" ht="15" hidden="false" customHeight="false" outlineLevel="0" collapsed="false">
      <c r="A80" s="24"/>
      <c r="B80" s="22"/>
      <c r="C80" s="25" t="str">
        <f aca="false">IF(B80="","",IFERROR(INDEX(Employees!$B$5:$B$200,MATCH(B80,Employees!$A$5:$A$200,0)),"ID not found"))</f>
        <v/>
      </c>
      <c r="D80" s="25" t="str">
        <f aca="false">IF(B80="","",IFERROR(INDEX(Employees!$K$5:$K$200,MATCH(B80,Employees!$A$5:$A$200,0)),"not found"))</f>
        <v/>
      </c>
      <c r="E80" s="25" t="str">
        <f aca="false">IF(B80="","",IFERROR(INDEX(Employees!$I$5:$I$200,MATCH(B80,Employees!$A$5:$A$200,0)),"not found"))</f>
        <v/>
      </c>
      <c r="F80" s="24"/>
      <c r="G80" s="23" t="str">
        <f aca="false">IF(B80="","",IF(E80&lt;&gt;"active","Not eligible: not active",IF(D80&lt;&gt;"Yes","Not eligible: not VDU user",IF(F80="","Eligible",IF(EDATE(F80,Lists!$E$8)&lt;=A80,"Eligible","Not eligible: within gap period")))))</f>
        <v/>
      </c>
      <c r="H80" s="22"/>
      <c r="I80" s="26" t="str">
        <f aca="false">IF(OR(A80="",G80&lt;&gt;"Eligible"),"",A80+Lists!$E$9)</f>
        <v/>
      </c>
      <c r="J80" s="22"/>
      <c r="K80" s="22"/>
    </row>
    <row r="81" customFormat="false" ht="15" hidden="false" customHeight="false" outlineLevel="0" collapsed="false">
      <c r="A81" s="24"/>
      <c r="B81" s="22"/>
      <c r="C81" s="25" t="str">
        <f aca="false">IF(B81="","",IFERROR(INDEX(Employees!$B$5:$B$200,MATCH(B81,Employees!$A$5:$A$200,0)),"ID not found"))</f>
        <v/>
      </c>
      <c r="D81" s="25" t="str">
        <f aca="false">IF(B81="","",IFERROR(INDEX(Employees!$K$5:$K$200,MATCH(B81,Employees!$A$5:$A$200,0)),"not found"))</f>
        <v/>
      </c>
      <c r="E81" s="25" t="str">
        <f aca="false">IF(B81="","",IFERROR(INDEX(Employees!$I$5:$I$200,MATCH(B81,Employees!$A$5:$A$200,0)),"not found"))</f>
        <v/>
      </c>
      <c r="F81" s="24"/>
      <c r="G81" s="23" t="str">
        <f aca="false">IF(B81="","",IF(E81&lt;&gt;"active","Not eligible: not active",IF(D81&lt;&gt;"Yes","Not eligible: not VDU user",IF(F81="","Eligible",IF(EDATE(F81,Lists!$E$8)&lt;=A81,"Eligible","Not eligible: within gap period")))))</f>
        <v/>
      </c>
      <c r="H81" s="22"/>
      <c r="I81" s="26" t="str">
        <f aca="false">IF(OR(A81="",G81&lt;&gt;"Eligible"),"",A81+Lists!$E$9)</f>
        <v/>
      </c>
      <c r="J81" s="22"/>
      <c r="K81" s="22"/>
    </row>
    <row r="82" customFormat="false" ht="15" hidden="false" customHeight="false" outlineLevel="0" collapsed="false">
      <c r="A82" s="24"/>
      <c r="B82" s="22"/>
      <c r="C82" s="25" t="str">
        <f aca="false">IF(B82="","",IFERROR(INDEX(Employees!$B$5:$B$200,MATCH(B82,Employees!$A$5:$A$200,0)),"ID not found"))</f>
        <v/>
      </c>
      <c r="D82" s="25" t="str">
        <f aca="false">IF(B82="","",IFERROR(INDEX(Employees!$K$5:$K$200,MATCH(B82,Employees!$A$5:$A$200,0)),"not found"))</f>
        <v/>
      </c>
      <c r="E82" s="25" t="str">
        <f aca="false">IF(B82="","",IFERROR(INDEX(Employees!$I$5:$I$200,MATCH(B82,Employees!$A$5:$A$200,0)),"not found"))</f>
        <v/>
      </c>
      <c r="F82" s="24"/>
      <c r="G82" s="23" t="str">
        <f aca="false">IF(B82="","",IF(E82&lt;&gt;"active","Not eligible: not active",IF(D82&lt;&gt;"Yes","Not eligible: not VDU user",IF(F82="","Eligible",IF(EDATE(F82,Lists!$E$8)&lt;=A82,"Eligible","Not eligible: within gap period")))))</f>
        <v/>
      </c>
      <c r="H82" s="22"/>
      <c r="I82" s="26" t="str">
        <f aca="false">IF(OR(A82="",G82&lt;&gt;"Eligible"),"",A82+Lists!$E$9)</f>
        <v/>
      </c>
      <c r="J82" s="22"/>
      <c r="K82" s="22"/>
    </row>
    <row r="83" customFormat="false" ht="15" hidden="false" customHeight="false" outlineLevel="0" collapsed="false">
      <c r="A83" s="24"/>
      <c r="B83" s="22"/>
      <c r="C83" s="25" t="str">
        <f aca="false">IF(B83="","",IFERROR(INDEX(Employees!$B$5:$B$200,MATCH(B83,Employees!$A$5:$A$200,0)),"ID not found"))</f>
        <v/>
      </c>
      <c r="D83" s="25" t="str">
        <f aca="false">IF(B83="","",IFERROR(INDEX(Employees!$K$5:$K$200,MATCH(B83,Employees!$A$5:$A$200,0)),"not found"))</f>
        <v/>
      </c>
      <c r="E83" s="25" t="str">
        <f aca="false">IF(B83="","",IFERROR(INDEX(Employees!$I$5:$I$200,MATCH(B83,Employees!$A$5:$A$200,0)),"not found"))</f>
        <v/>
      </c>
      <c r="F83" s="24"/>
      <c r="G83" s="23" t="str">
        <f aca="false">IF(B83="","",IF(E83&lt;&gt;"active","Not eligible: not active",IF(D83&lt;&gt;"Yes","Not eligible: not VDU user",IF(F83="","Eligible",IF(EDATE(F83,Lists!$E$8)&lt;=A83,"Eligible","Not eligible: within gap period")))))</f>
        <v/>
      </c>
      <c r="H83" s="22"/>
      <c r="I83" s="26" t="str">
        <f aca="false">IF(OR(A83="",G83&lt;&gt;"Eligible"),"",A83+Lists!$E$9)</f>
        <v/>
      </c>
      <c r="J83" s="22"/>
      <c r="K83" s="22"/>
    </row>
    <row r="84" customFormat="false" ht="15" hidden="false" customHeight="false" outlineLevel="0" collapsed="false">
      <c r="A84" s="24"/>
      <c r="B84" s="22"/>
      <c r="C84" s="25" t="str">
        <f aca="false">IF(B84="","",IFERROR(INDEX(Employees!$B$5:$B$200,MATCH(B84,Employees!$A$5:$A$200,0)),"ID not found"))</f>
        <v/>
      </c>
      <c r="D84" s="25" t="str">
        <f aca="false">IF(B84="","",IFERROR(INDEX(Employees!$K$5:$K$200,MATCH(B84,Employees!$A$5:$A$200,0)),"not found"))</f>
        <v/>
      </c>
      <c r="E84" s="25" t="str">
        <f aca="false">IF(B84="","",IFERROR(INDEX(Employees!$I$5:$I$200,MATCH(B84,Employees!$A$5:$A$200,0)),"not found"))</f>
        <v/>
      </c>
      <c r="F84" s="24"/>
      <c r="G84" s="23" t="str">
        <f aca="false">IF(B84="","",IF(E84&lt;&gt;"active","Not eligible: not active",IF(D84&lt;&gt;"Yes","Not eligible: not VDU user",IF(F84="","Eligible",IF(EDATE(F84,Lists!$E$8)&lt;=A84,"Eligible","Not eligible: within gap period")))))</f>
        <v/>
      </c>
      <c r="H84" s="22"/>
      <c r="I84" s="26" t="str">
        <f aca="false">IF(OR(A84="",G84&lt;&gt;"Eligible"),"",A84+Lists!$E$9)</f>
        <v/>
      </c>
      <c r="J84" s="22"/>
      <c r="K84" s="22"/>
    </row>
    <row r="85" customFormat="false" ht="15" hidden="false" customHeight="false" outlineLevel="0" collapsed="false">
      <c r="A85" s="24"/>
      <c r="B85" s="22"/>
      <c r="C85" s="25" t="str">
        <f aca="false">IF(B85="","",IFERROR(INDEX(Employees!$B$5:$B$200,MATCH(B85,Employees!$A$5:$A$200,0)),"ID not found"))</f>
        <v/>
      </c>
      <c r="D85" s="25" t="str">
        <f aca="false">IF(B85="","",IFERROR(INDEX(Employees!$K$5:$K$200,MATCH(B85,Employees!$A$5:$A$200,0)),"not found"))</f>
        <v/>
      </c>
      <c r="E85" s="25" t="str">
        <f aca="false">IF(B85="","",IFERROR(INDEX(Employees!$I$5:$I$200,MATCH(B85,Employees!$A$5:$A$200,0)),"not found"))</f>
        <v/>
      </c>
      <c r="F85" s="24"/>
      <c r="G85" s="23" t="str">
        <f aca="false">IF(B85="","",IF(E85&lt;&gt;"active","Not eligible: not active",IF(D85&lt;&gt;"Yes","Not eligible: not VDU user",IF(F85="","Eligible",IF(EDATE(F85,Lists!$E$8)&lt;=A85,"Eligible","Not eligible: within gap period")))))</f>
        <v/>
      </c>
      <c r="H85" s="22"/>
      <c r="I85" s="26" t="str">
        <f aca="false">IF(OR(A85="",G85&lt;&gt;"Eligible"),"",A85+Lists!$E$9)</f>
        <v/>
      </c>
      <c r="J85" s="22"/>
      <c r="K85" s="22"/>
    </row>
    <row r="86" customFormat="false" ht="15" hidden="false" customHeight="false" outlineLevel="0" collapsed="false">
      <c r="A86" s="24"/>
      <c r="B86" s="22"/>
      <c r="C86" s="25" t="str">
        <f aca="false">IF(B86="","",IFERROR(INDEX(Employees!$B$5:$B$200,MATCH(B86,Employees!$A$5:$A$200,0)),"ID not found"))</f>
        <v/>
      </c>
      <c r="D86" s="25" t="str">
        <f aca="false">IF(B86="","",IFERROR(INDEX(Employees!$K$5:$K$200,MATCH(B86,Employees!$A$5:$A$200,0)),"not found"))</f>
        <v/>
      </c>
      <c r="E86" s="25" t="str">
        <f aca="false">IF(B86="","",IFERROR(INDEX(Employees!$I$5:$I$200,MATCH(B86,Employees!$A$5:$A$200,0)),"not found"))</f>
        <v/>
      </c>
      <c r="F86" s="24"/>
      <c r="G86" s="23" t="str">
        <f aca="false">IF(B86="","",IF(E86&lt;&gt;"active","Not eligible: not active",IF(D86&lt;&gt;"Yes","Not eligible: not VDU user",IF(F86="","Eligible",IF(EDATE(F86,Lists!$E$8)&lt;=A86,"Eligible","Not eligible: within gap period")))))</f>
        <v/>
      </c>
      <c r="H86" s="22"/>
      <c r="I86" s="26" t="str">
        <f aca="false">IF(OR(A86="",G86&lt;&gt;"Eligible"),"",A86+Lists!$E$9)</f>
        <v/>
      </c>
      <c r="J86" s="22"/>
      <c r="K86" s="22"/>
    </row>
    <row r="87" customFormat="false" ht="15" hidden="false" customHeight="false" outlineLevel="0" collapsed="false">
      <c r="A87" s="24"/>
      <c r="B87" s="22"/>
      <c r="C87" s="25" t="str">
        <f aca="false">IF(B87="","",IFERROR(INDEX(Employees!$B$5:$B$200,MATCH(B87,Employees!$A$5:$A$200,0)),"ID not found"))</f>
        <v/>
      </c>
      <c r="D87" s="25" t="str">
        <f aca="false">IF(B87="","",IFERROR(INDEX(Employees!$K$5:$K$200,MATCH(B87,Employees!$A$5:$A$200,0)),"not found"))</f>
        <v/>
      </c>
      <c r="E87" s="25" t="str">
        <f aca="false">IF(B87="","",IFERROR(INDEX(Employees!$I$5:$I$200,MATCH(B87,Employees!$A$5:$A$200,0)),"not found"))</f>
        <v/>
      </c>
      <c r="F87" s="24"/>
      <c r="G87" s="23" t="str">
        <f aca="false">IF(B87="","",IF(E87&lt;&gt;"active","Not eligible: not active",IF(D87&lt;&gt;"Yes","Not eligible: not VDU user",IF(F87="","Eligible",IF(EDATE(F87,Lists!$E$8)&lt;=A87,"Eligible","Not eligible: within gap period")))))</f>
        <v/>
      </c>
      <c r="H87" s="22"/>
      <c r="I87" s="26" t="str">
        <f aca="false">IF(OR(A87="",G87&lt;&gt;"Eligible"),"",A87+Lists!$E$9)</f>
        <v/>
      </c>
      <c r="J87" s="22"/>
      <c r="K87" s="22"/>
    </row>
    <row r="88" customFormat="false" ht="15" hidden="false" customHeight="false" outlineLevel="0" collapsed="false">
      <c r="A88" s="24"/>
      <c r="B88" s="22"/>
      <c r="C88" s="25" t="str">
        <f aca="false">IF(B88="","",IFERROR(INDEX(Employees!$B$5:$B$200,MATCH(B88,Employees!$A$5:$A$200,0)),"ID not found"))</f>
        <v/>
      </c>
      <c r="D88" s="25" t="str">
        <f aca="false">IF(B88="","",IFERROR(INDEX(Employees!$K$5:$K$200,MATCH(B88,Employees!$A$5:$A$200,0)),"not found"))</f>
        <v/>
      </c>
      <c r="E88" s="25" t="str">
        <f aca="false">IF(B88="","",IFERROR(INDEX(Employees!$I$5:$I$200,MATCH(B88,Employees!$A$5:$A$200,0)),"not found"))</f>
        <v/>
      </c>
      <c r="F88" s="24"/>
      <c r="G88" s="23" t="str">
        <f aca="false">IF(B88="","",IF(E88&lt;&gt;"active","Not eligible: not active",IF(D88&lt;&gt;"Yes","Not eligible: not VDU user",IF(F88="","Eligible",IF(EDATE(F88,Lists!$E$8)&lt;=A88,"Eligible","Not eligible: within gap period")))))</f>
        <v/>
      </c>
      <c r="H88" s="22"/>
      <c r="I88" s="26" t="str">
        <f aca="false">IF(OR(A88="",G88&lt;&gt;"Eligible"),"",A88+Lists!$E$9)</f>
        <v/>
      </c>
      <c r="J88" s="22"/>
      <c r="K88" s="22"/>
    </row>
    <row r="89" customFormat="false" ht="15" hidden="false" customHeight="false" outlineLevel="0" collapsed="false">
      <c r="A89" s="24"/>
      <c r="B89" s="22"/>
      <c r="C89" s="25" t="str">
        <f aca="false">IF(B89="","",IFERROR(INDEX(Employees!$B$5:$B$200,MATCH(B89,Employees!$A$5:$A$200,0)),"ID not found"))</f>
        <v/>
      </c>
      <c r="D89" s="25" t="str">
        <f aca="false">IF(B89="","",IFERROR(INDEX(Employees!$K$5:$K$200,MATCH(B89,Employees!$A$5:$A$200,0)),"not found"))</f>
        <v/>
      </c>
      <c r="E89" s="25" t="str">
        <f aca="false">IF(B89="","",IFERROR(INDEX(Employees!$I$5:$I$200,MATCH(B89,Employees!$A$5:$A$200,0)),"not found"))</f>
        <v/>
      </c>
      <c r="F89" s="24"/>
      <c r="G89" s="23" t="str">
        <f aca="false">IF(B89="","",IF(E89&lt;&gt;"active","Not eligible: not active",IF(D89&lt;&gt;"Yes","Not eligible: not VDU user",IF(F89="","Eligible",IF(EDATE(F89,Lists!$E$8)&lt;=A89,"Eligible","Not eligible: within gap period")))))</f>
        <v/>
      </c>
      <c r="H89" s="22"/>
      <c r="I89" s="26" t="str">
        <f aca="false">IF(OR(A89="",G89&lt;&gt;"Eligible"),"",A89+Lists!$E$9)</f>
        <v/>
      </c>
      <c r="J89" s="22"/>
      <c r="K89" s="22"/>
    </row>
    <row r="90" customFormat="false" ht="15" hidden="false" customHeight="false" outlineLevel="0" collapsed="false">
      <c r="A90" s="24"/>
      <c r="B90" s="22"/>
      <c r="C90" s="25" t="str">
        <f aca="false">IF(B90="","",IFERROR(INDEX(Employees!$B$5:$B$200,MATCH(B90,Employees!$A$5:$A$200,0)),"ID not found"))</f>
        <v/>
      </c>
      <c r="D90" s="25" t="str">
        <f aca="false">IF(B90="","",IFERROR(INDEX(Employees!$K$5:$K$200,MATCH(B90,Employees!$A$5:$A$200,0)),"not found"))</f>
        <v/>
      </c>
      <c r="E90" s="25" t="str">
        <f aca="false">IF(B90="","",IFERROR(INDEX(Employees!$I$5:$I$200,MATCH(B90,Employees!$A$5:$A$200,0)),"not found"))</f>
        <v/>
      </c>
      <c r="F90" s="24"/>
      <c r="G90" s="23" t="str">
        <f aca="false">IF(B90="","",IF(E90&lt;&gt;"active","Not eligible: not active",IF(D90&lt;&gt;"Yes","Not eligible: not VDU user",IF(F90="","Eligible",IF(EDATE(F90,Lists!$E$8)&lt;=A90,"Eligible","Not eligible: within gap period")))))</f>
        <v/>
      </c>
      <c r="H90" s="22"/>
      <c r="I90" s="26" t="str">
        <f aca="false">IF(OR(A90="",G90&lt;&gt;"Eligible"),"",A90+Lists!$E$9)</f>
        <v/>
      </c>
      <c r="J90" s="22"/>
      <c r="K90" s="22"/>
    </row>
    <row r="91" customFormat="false" ht="15" hidden="false" customHeight="false" outlineLevel="0" collapsed="false">
      <c r="A91" s="24"/>
      <c r="B91" s="22"/>
      <c r="C91" s="25" t="str">
        <f aca="false">IF(B91="","",IFERROR(INDEX(Employees!$B$5:$B$200,MATCH(B91,Employees!$A$5:$A$200,0)),"ID not found"))</f>
        <v/>
      </c>
      <c r="D91" s="25" t="str">
        <f aca="false">IF(B91="","",IFERROR(INDEX(Employees!$K$5:$K$200,MATCH(B91,Employees!$A$5:$A$200,0)),"not found"))</f>
        <v/>
      </c>
      <c r="E91" s="25" t="str">
        <f aca="false">IF(B91="","",IFERROR(INDEX(Employees!$I$5:$I$200,MATCH(B91,Employees!$A$5:$A$200,0)),"not found"))</f>
        <v/>
      </c>
      <c r="F91" s="24"/>
      <c r="G91" s="23" t="str">
        <f aca="false">IF(B91="","",IF(E91&lt;&gt;"active","Not eligible: not active",IF(D91&lt;&gt;"Yes","Not eligible: not VDU user",IF(F91="","Eligible",IF(EDATE(F91,Lists!$E$8)&lt;=A91,"Eligible","Not eligible: within gap period")))))</f>
        <v/>
      </c>
      <c r="H91" s="22"/>
      <c r="I91" s="26" t="str">
        <f aca="false">IF(OR(A91="",G91&lt;&gt;"Eligible"),"",A91+Lists!$E$9)</f>
        <v/>
      </c>
      <c r="J91" s="22"/>
      <c r="K91" s="22"/>
    </row>
    <row r="92" customFormat="false" ht="15" hidden="false" customHeight="false" outlineLevel="0" collapsed="false">
      <c r="A92" s="24"/>
      <c r="B92" s="22"/>
      <c r="C92" s="25" t="str">
        <f aca="false">IF(B92="","",IFERROR(INDEX(Employees!$B$5:$B$200,MATCH(B92,Employees!$A$5:$A$200,0)),"ID not found"))</f>
        <v/>
      </c>
      <c r="D92" s="25" t="str">
        <f aca="false">IF(B92="","",IFERROR(INDEX(Employees!$K$5:$K$200,MATCH(B92,Employees!$A$5:$A$200,0)),"not found"))</f>
        <v/>
      </c>
      <c r="E92" s="25" t="str">
        <f aca="false">IF(B92="","",IFERROR(INDEX(Employees!$I$5:$I$200,MATCH(B92,Employees!$A$5:$A$200,0)),"not found"))</f>
        <v/>
      </c>
      <c r="F92" s="24"/>
      <c r="G92" s="23" t="str">
        <f aca="false">IF(B92="","",IF(E92&lt;&gt;"active","Not eligible: not active",IF(D92&lt;&gt;"Yes","Not eligible: not VDU user",IF(F92="","Eligible",IF(EDATE(F92,Lists!$E$8)&lt;=A92,"Eligible","Not eligible: within gap period")))))</f>
        <v/>
      </c>
      <c r="H92" s="22"/>
      <c r="I92" s="26" t="str">
        <f aca="false">IF(OR(A92="",G92&lt;&gt;"Eligible"),"",A92+Lists!$E$9)</f>
        <v/>
      </c>
      <c r="J92" s="22"/>
      <c r="K92" s="22"/>
    </row>
    <row r="93" customFormat="false" ht="15" hidden="false" customHeight="false" outlineLevel="0" collapsed="false">
      <c r="A93" s="24"/>
      <c r="B93" s="22"/>
      <c r="C93" s="25" t="str">
        <f aca="false">IF(B93="","",IFERROR(INDEX(Employees!$B$5:$B$200,MATCH(B93,Employees!$A$5:$A$200,0)),"ID not found"))</f>
        <v/>
      </c>
      <c r="D93" s="25" t="str">
        <f aca="false">IF(B93="","",IFERROR(INDEX(Employees!$K$5:$K$200,MATCH(B93,Employees!$A$5:$A$200,0)),"not found"))</f>
        <v/>
      </c>
      <c r="E93" s="25" t="str">
        <f aca="false">IF(B93="","",IFERROR(INDEX(Employees!$I$5:$I$200,MATCH(B93,Employees!$A$5:$A$200,0)),"not found"))</f>
        <v/>
      </c>
      <c r="F93" s="24"/>
      <c r="G93" s="23" t="str">
        <f aca="false">IF(B93="","",IF(E93&lt;&gt;"active","Not eligible: not active",IF(D93&lt;&gt;"Yes","Not eligible: not VDU user",IF(F93="","Eligible",IF(EDATE(F93,Lists!$E$8)&lt;=A93,"Eligible","Not eligible: within gap period")))))</f>
        <v/>
      </c>
      <c r="H93" s="22"/>
      <c r="I93" s="26" t="str">
        <f aca="false">IF(OR(A93="",G93&lt;&gt;"Eligible"),"",A93+Lists!$E$9)</f>
        <v/>
      </c>
      <c r="J93" s="22"/>
      <c r="K93" s="22"/>
    </row>
    <row r="94" customFormat="false" ht="15" hidden="false" customHeight="false" outlineLevel="0" collapsed="false">
      <c r="A94" s="24"/>
      <c r="B94" s="22"/>
      <c r="C94" s="25" t="str">
        <f aca="false">IF(B94="","",IFERROR(INDEX(Employees!$B$5:$B$200,MATCH(B94,Employees!$A$5:$A$200,0)),"ID not found"))</f>
        <v/>
      </c>
      <c r="D94" s="25" t="str">
        <f aca="false">IF(B94="","",IFERROR(INDEX(Employees!$K$5:$K$200,MATCH(B94,Employees!$A$5:$A$200,0)),"not found"))</f>
        <v/>
      </c>
      <c r="E94" s="25" t="str">
        <f aca="false">IF(B94="","",IFERROR(INDEX(Employees!$I$5:$I$200,MATCH(B94,Employees!$A$5:$A$200,0)),"not found"))</f>
        <v/>
      </c>
      <c r="F94" s="24"/>
      <c r="G94" s="23" t="str">
        <f aca="false">IF(B94="","",IF(E94&lt;&gt;"active","Not eligible: not active",IF(D94&lt;&gt;"Yes","Not eligible: not VDU user",IF(F94="","Eligible",IF(EDATE(F94,Lists!$E$8)&lt;=A94,"Eligible","Not eligible: within gap period")))))</f>
        <v/>
      </c>
      <c r="H94" s="22"/>
      <c r="I94" s="26" t="str">
        <f aca="false">IF(OR(A94="",G94&lt;&gt;"Eligible"),"",A94+Lists!$E$9)</f>
        <v/>
      </c>
      <c r="J94" s="22"/>
      <c r="K94" s="22"/>
    </row>
    <row r="95" customFormat="false" ht="15" hidden="false" customHeight="false" outlineLevel="0" collapsed="false">
      <c r="A95" s="24"/>
      <c r="B95" s="22"/>
      <c r="C95" s="25" t="str">
        <f aca="false">IF(B95="","",IFERROR(INDEX(Employees!$B$5:$B$200,MATCH(B95,Employees!$A$5:$A$200,0)),"ID not found"))</f>
        <v/>
      </c>
      <c r="D95" s="25" t="str">
        <f aca="false">IF(B95="","",IFERROR(INDEX(Employees!$K$5:$K$200,MATCH(B95,Employees!$A$5:$A$200,0)),"not found"))</f>
        <v/>
      </c>
      <c r="E95" s="25" t="str">
        <f aca="false">IF(B95="","",IFERROR(INDEX(Employees!$I$5:$I$200,MATCH(B95,Employees!$A$5:$A$200,0)),"not found"))</f>
        <v/>
      </c>
      <c r="F95" s="24"/>
      <c r="G95" s="23" t="str">
        <f aca="false">IF(B95="","",IF(E95&lt;&gt;"active","Not eligible: not active",IF(D95&lt;&gt;"Yes","Not eligible: not VDU user",IF(F95="","Eligible",IF(EDATE(F95,Lists!$E$8)&lt;=A95,"Eligible","Not eligible: within gap period")))))</f>
        <v/>
      </c>
      <c r="H95" s="22"/>
      <c r="I95" s="26" t="str">
        <f aca="false">IF(OR(A95="",G95&lt;&gt;"Eligible"),"",A95+Lists!$E$9)</f>
        <v/>
      </c>
      <c r="J95" s="22"/>
      <c r="K95" s="22"/>
    </row>
    <row r="96" customFormat="false" ht="15" hidden="false" customHeight="false" outlineLevel="0" collapsed="false">
      <c r="A96" s="24"/>
      <c r="B96" s="22"/>
      <c r="C96" s="25" t="str">
        <f aca="false">IF(B96="","",IFERROR(INDEX(Employees!$B$5:$B$200,MATCH(B96,Employees!$A$5:$A$200,0)),"ID not found"))</f>
        <v/>
      </c>
      <c r="D96" s="25" t="str">
        <f aca="false">IF(B96="","",IFERROR(INDEX(Employees!$K$5:$K$200,MATCH(B96,Employees!$A$5:$A$200,0)),"not found"))</f>
        <v/>
      </c>
      <c r="E96" s="25" t="str">
        <f aca="false">IF(B96="","",IFERROR(INDEX(Employees!$I$5:$I$200,MATCH(B96,Employees!$A$5:$A$200,0)),"not found"))</f>
        <v/>
      </c>
      <c r="F96" s="24"/>
      <c r="G96" s="23" t="str">
        <f aca="false">IF(B96="","",IF(E96&lt;&gt;"active","Not eligible: not active",IF(D96&lt;&gt;"Yes","Not eligible: not VDU user",IF(F96="","Eligible",IF(EDATE(F96,Lists!$E$8)&lt;=A96,"Eligible","Not eligible: within gap period")))))</f>
        <v/>
      </c>
      <c r="H96" s="22"/>
      <c r="I96" s="26" t="str">
        <f aca="false">IF(OR(A96="",G96&lt;&gt;"Eligible"),"",A96+Lists!$E$9)</f>
        <v/>
      </c>
      <c r="J96" s="22"/>
      <c r="K96" s="22"/>
    </row>
    <row r="97" customFormat="false" ht="15" hidden="false" customHeight="false" outlineLevel="0" collapsed="false">
      <c r="A97" s="24"/>
      <c r="B97" s="22"/>
      <c r="C97" s="25" t="str">
        <f aca="false">IF(B97="","",IFERROR(INDEX(Employees!$B$5:$B$200,MATCH(B97,Employees!$A$5:$A$200,0)),"ID not found"))</f>
        <v/>
      </c>
      <c r="D97" s="25" t="str">
        <f aca="false">IF(B97="","",IFERROR(INDEX(Employees!$K$5:$K$200,MATCH(B97,Employees!$A$5:$A$200,0)),"not found"))</f>
        <v/>
      </c>
      <c r="E97" s="25" t="str">
        <f aca="false">IF(B97="","",IFERROR(INDEX(Employees!$I$5:$I$200,MATCH(B97,Employees!$A$5:$A$200,0)),"not found"))</f>
        <v/>
      </c>
      <c r="F97" s="24"/>
      <c r="G97" s="23" t="str">
        <f aca="false">IF(B97="","",IF(E97&lt;&gt;"active","Not eligible: not active",IF(D97&lt;&gt;"Yes","Not eligible: not VDU user",IF(F97="","Eligible",IF(EDATE(F97,Lists!$E$8)&lt;=A97,"Eligible","Not eligible: within gap period")))))</f>
        <v/>
      </c>
      <c r="H97" s="22"/>
      <c r="I97" s="26" t="str">
        <f aca="false">IF(OR(A97="",G97&lt;&gt;"Eligible"),"",A97+Lists!$E$9)</f>
        <v/>
      </c>
      <c r="J97" s="22"/>
      <c r="K97" s="22"/>
    </row>
    <row r="98" customFormat="false" ht="15" hidden="false" customHeight="false" outlineLevel="0" collapsed="false">
      <c r="A98" s="24"/>
      <c r="B98" s="22"/>
      <c r="C98" s="25" t="str">
        <f aca="false">IF(B98="","",IFERROR(INDEX(Employees!$B$5:$B$200,MATCH(B98,Employees!$A$5:$A$200,0)),"ID not found"))</f>
        <v/>
      </c>
      <c r="D98" s="25" t="str">
        <f aca="false">IF(B98="","",IFERROR(INDEX(Employees!$K$5:$K$200,MATCH(B98,Employees!$A$5:$A$200,0)),"not found"))</f>
        <v/>
      </c>
      <c r="E98" s="25" t="str">
        <f aca="false">IF(B98="","",IFERROR(INDEX(Employees!$I$5:$I$200,MATCH(B98,Employees!$A$5:$A$200,0)),"not found"))</f>
        <v/>
      </c>
      <c r="F98" s="24"/>
      <c r="G98" s="23" t="str">
        <f aca="false">IF(B98="","",IF(E98&lt;&gt;"active","Not eligible: not active",IF(D98&lt;&gt;"Yes","Not eligible: not VDU user",IF(F98="","Eligible",IF(EDATE(F98,Lists!$E$8)&lt;=A98,"Eligible","Not eligible: within gap period")))))</f>
        <v/>
      </c>
      <c r="H98" s="22"/>
      <c r="I98" s="26" t="str">
        <f aca="false">IF(OR(A98="",G98&lt;&gt;"Eligible"),"",A98+Lists!$E$9)</f>
        <v/>
      </c>
      <c r="J98" s="22"/>
      <c r="K98" s="22"/>
    </row>
    <row r="99" customFormat="false" ht="15" hidden="false" customHeight="false" outlineLevel="0" collapsed="false">
      <c r="A99" s="24"/>
      <c r="B99" s="22"/>
      <c r="C99" s="25" t="str">
        <f aca="false">IF(B99="","",IFERROR(INDEX(Employees!$B$5:$B$200,MATCH(B99,Employees!$A$5:$A$200,0)),"ID not found"))</f>
        <v/>
      </c>
      <c r="D99" s="25" t="str">
        <f aca="false">IF(B99="","",IFERROR(INDEX(Employees!$K$5:$K$200,MATCH(B99,Employees!$A$5:$A$200,0)),"not found"))</f>
        <v/>
      </c>
      <c r="E99" s="25" t="str">
        <f aca="false">IF(B99="","",IFERROR(INDEX(Employees!$I$5:$I$200,MATCH(B99,Employees!$A$5:$A$200,0)),"not found"))</f>
        <v/>
      </c>
      <c r="F99" s="24"/>
      <c r="G99" s="23" t="str">
        <f aca="false">IF(B99="","",IF(E99&lt;&gt;"active","Not eligible: not active",IF(D99&lt;&gt;"Yes","Not eligible: not VDU user",IF(F99="","Eligible",IF(EDATE(F99,Lists!$E$8)&lt;=A99,"Eligible","Not eligible: within gap period")))))</f>
        <v/>
      </c>
      <c r="H99" s="22"/>
      <c r="I99" s="26" t="str">
        <f aca="false">IF(OR(A99="",G99&lt;&gt;"Eligible"),"",A99+Lists!$E$9)</f>
        <v/>
      </c>
      <c r="J99" s="22"/>
      <c r="K99" s="22"/>
    </row>
    <row r="100" customFormat="false" ht="15" hidden="false" customHeight="false" outlineLevel="0" collapsed="false">
      <c r="A100" s="24"/>
      <c r="B100" s="22"/>
      <c r="C100" s="25" t="str">
        <f aca="false">IF(B100="","",IFERROR(INDEX(Employees!$B$5:$B$200,MATCH(B100,Employees!$A$5:$A$200,0)),"ID not found"))</f>
        <v/>
      </c>
      <c r="D100" s="25" t="str">
        <f aca="false">IF(B100="","",IFERROR(INDEX(Employees!$K$5:$K$200,MATCH(B100,Employees!$A$5:$A$200,0)),"not found"))</f>
        <v/>
      </c>
      <c r="E100" s="25" t="str">
        <f aca="false">IF(B100="","",IFERROR(INDEX(Employees!$I$5:$I$200,MATCH(B100,Employees!$A$5:$A$200,0)),"not found"))</f>
        <v/>
      </c>
      <c r="F100" s="24"/>
      <c r="G100" s="23" t="str">
        <f aca="false">IF(B100="","",IF(E100&lt;&gt;"active","Not eligible: not active",IF(D100&lt;&gt;"Yes","Not eligible: not VDU user",IF(F100="","Eligible",IF(EDATE(F100,Lists!$E$8)&lt;=A100,"Eligible","Not eligible: within gap period")))))</f>
        <v/>
      </c>
      <c r="H100" s="22"/>
      <c r="I100" s="26" t="str">
        <f aca="false">IF(OR(A100="",G100&lt;&gt;"Eligible"),"",A100+Lists!$E$9)</f>
        <v/>
      </c>
      <c r="J100" s="22"/>
      <c r="K100" s="22"/>
    </row>
    <row r="101" customFormat="false" ht="15" hidden="false" customHeight="false" outlineLevel="0" collapsed="false">
      <c r="A101" s="24"/>
      <c r="B101" s="22"/>
      <c r="C101" s="25" t="str">
        <f aca="false">IF(B101="","",IFERROR(INDEX(Employees!$B$5:$B$200,MATCH(B101,Employees!$A$5:$A$200,0)),"ID not found"))</f>
        <v/>
      </c>
      <c r="D101" s="25" t="str">
        <f aca="false">IF(B101="","",IFERROR(INDEX(Employees!$K$5:$K$200,MATCH(B101,Employees!$A$5:$A$200,0)),"not found"))</f>
        <v/>
      </c>
      <c r="E101" s="25" t="str">
        <f aca="false">IF(B101="","",IFERROR(INDEX(Employees!$I$5:$I$200,MATCH(B101,Employees!$A$5:$A$200,0)),"not found"))</f>
        <v/>
      </c>
      <c r="F101" s="24"/>
      <c r="G101" s="23" t="str">
        <f aca="false">IF(B101="","",IF(E101&lt;&gt;"active","Not eligible: not active",IF(D101&lt;&gt;"Yes","Not eligible: not VDU user",IF(F101="","Eligible",IF(EDATE(F101,Lists!$E$8)&lt;=A101,"Eligible","Not eligible: within gap period")))))</f>
        <v/>
      </c>
      <c r="H101" s="22"/>
      <c r="I101" s="26" t="str">
        <f aca="false">IF(OR(A101="",G101&lt;&gt;"Eligible"),"",A101+Lists!$E$9)</f>
        <v/>
      </c>
      <c r="J101" s="22"/>
      <c r="K101" s="22"/>
    </row>
    <row r="102" customFormat="false" ht="15" hidden="false" customHeight="false" outlineLevel="0" collapsed="false">
      <c r="A102" s="24"/>
      <c r="B102" s="22"/>
      <c r="C102" s="25" t="str">
        <f aca="false">IF(B102="","",IFERROR(INDEX(Employees!$B$5:$B$200,MATCH(B102,Employees!$A$5:$A$200,0)),"ID not found"))</f>
        <v/>
      </c>
      <c r="D102" s="25" t="str">
        <f aca="false">IF(B102="","",IFERROR(INDEX(Employees!$K$5:$K$200,MATCH(B102,Employees!$A$5:$A$200,0)),"not found"))</f>
        <v/>
      </c>
      <c r="E102" s="25" t="str">
        <f aca="false">IF(B102="","",IFERROR(INDEX(Employees!$I$5:$I$200,MATCH(B102,Employees!$A$5:$A$200,0)),"not found"))</f>
        <v/>
      </c>
      <c r="F102" s="24"/>
      <c r="G102" s="23" t="str">
        <f aca="false">IF(B102="","",IF(E102&lt;&gt;"active","Not eligible: not active",IF(D102&lt;&gt;"Yes","Not eligible: not VDU user",IF(F102="","Eligible",IF(EDATE(F102,Lists!$E$8)&lt;=A102,"Eligible","Not eligible: within gap period")))))</f>
        <v/>
      </c>
      <c r="H102" s="22"/>
      <c r="I102" s="26" t="str">
        <f aca="false">IF(OR(A102="",G102&lt;&gt;"Eligible"),"",A102+Lists!$E$9)</f>
        <v/>
      </c>
      <c r="J102" s="22"/>
      <c r="K102" s="22"/>
    </row>
    <row r="103" customFormat="false" ht="15" hidden="false" customHeight="false" outlineLevel="0" collapsed="false">
      <c r="A103" s="24"/>
      <c r="B103" s="22"/>
      <c r="C103" s="25" t="str">
        <f aca="false">IF(B103="","",IFERROR(INDEX(Employees!$B$5:$B$200,MATCH(B103,Employees!$A$5:$A$200,0)),"ID not found"))</f>
        <v/>
      </c>
      <c r="D103" s="25" t="str">
        <f aca="false">IF(B103="","",IFERROR(INDEX(Employees!$K$5:$K$200,MATCH(B103,Employees!$A$5:$A$200,0)),"not found"))</f>
        <v/>
      </c>
      <c r="E103" s="25" t="str">
        <f aca="false">IF(B103="","",IFERROR(INDEX(Employees!$I$5:$I$200,MATCH(B103,Employees!$A$5:$A$200,0)),"not found"))</f>
        <v/>
      </c>
      <c r="F103" s="24"/>
      <c r="G103" s="23" t="str">
        <f aca="false">IF(B103="","",IF(E103&lt;&gt;"active","Not eligible: not active",IF(D103&lt;&gt;"Yes","Not eligible: not VDU user",IF(F103="","Eligible",IF(EDATE(F103,Lists!$E$8)&lt;=A103,"Eligible","Not eligible: within gap period")))))</f>
        <v/>
      </c>
      <c r="H103" s="22"/>
      <c r="I103" s="26" t="str">
        <f aca="false">IF(OR(A103="",G103&lt;&gt;"Eligible"),"",A103+Lists!$E$9)</f>
        <v/>
      </c>
      <c r="J103" s="22"/>
      <c r="K103" s="22"/>
    </row>
    <row r="104" customFormat="false" ht="15" hidden="false" customHeight="false" outlineLevel="0" collapsed="false">
      <c r="A104" s="24"/>
      <c r="B104" s="22"/>
      <c r="C104" s="25" t="str">
        <f aca="false">IF(B104="","",IFERROR(INDEX(Employees!$B$5:$B$200,MATCH(B104,Employees!$A$5:$A$200,0)),"ID not found"))</f>
        <v/>
      </c>
      <c r="D104" s="25" t="str">
        <f aca="false">IF(B104="","",IFERROR(INDEX(Employees!$K$5:$K$200,MATCH(B104,Employees!$A$5:$A$200,0)),"not found"))</f>
        <v/>
      </c>
      <c r="E104" s="25" t="str">
        <f aca="false">IF(B104="","",IFERROR(INDEX(Employees!$I$5:$I$200,MATCH(B104,Employees!$A$5:$A$200,0)),"not found"))</f>
        <v/>
      </c>
      <c r="F104" s="24"/>
      <c r="G104" s="23" t="str">
        <f aca="false">IF(B104="","",IF(E104&lt;&gt;"active","Not eligible: not active",IF(D104&lt;&gt;"Yes","Not eligible: not VDU user",IF(F104="","Eligible",IF(EDATE(F104,Lists!$E$8)&lt;=A104,"Eligible","Not eligible: within gap period")))))</f>
        <v/>
      </c>
      <c r="H104" s="22"/>
      <c r="I104" s="26" t="str">
        <f aca="false">IF(OR(A104="",G104&lt;&gt;"Eligible"),"",A104+Lists!$E$9)</f>
        <v/>
      </c>
      <c r="J104" s="22"/>
      <c r="K104" s="22"/>
    </row>
  </sheetData>
  <conditionalFormatting sqref="G5:G104">
    <cfRule type="expression" priority="2" aboveAverage="0" equalAverage="0" bottom="0" percent="0" rank="0" text="" dxfId="12">
      <formula>ISNUMBER(SEARCH("Not eligible",G5))</formula>
    </cfRule>
    <cfRule type="expression" priority="3" aboveAverage="0" equalAverage="0" bottom="0" percent="0" rank="0" text="" dxfId="13">
      <formula>ISNUMBER(SEARCH("Eligible",G5))</formula>
    </cfRule>
  </conditionalFormatting>
  <dataValidations count="3">
    <dataValidation allowBlank="true" error="Enter a valid date" errorStyle="stop" operator="greaterThan" showDropDown="false" showErrorMessage="true" showInputMessage="false" sqref="A5:A104 F5:F104" type="date">
      <formula1>43831</formula1>
      <formula2>0</formula2>
    </dataValidation>
    <dataValidation allowBlank="true" errorStyle="stop" operator="between" showDropDown="false" showErrorMessage="true" showInputMessage="false" sqref="B5:B104" type="list">
      <formula1>Employees!$A$5:$A$200</formula1>
      <formula2>0</formula2>
    </dataValidation>
    <dataValidation allowBlank="true" errorStyle="stop" operator="between" showDropDown="false" showErrorMessage="true" showInputMessage="false" sqref="J5:J104" type="list">
      <formula1>Lists!$P$4:$P$7</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K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20"/>
    <col collapsed="false" customWidth="true" hidden="false" outlineLevel="0" max="4" min="4" style="0" width="14"/>
    <col collapsed="false" customWidth="true" hidden="false" outlineLevel="0" max="5" min="5" style="0" width="20"/>
    <col collapsed="false" customWidth="true" hidden="false" outlineLevel="0" max="6" min="6" style="0" width="12"/>
    <col collapsed="false" customWidth="true" hidden="false" outlineLevel="0" max="7" min="7" style="0" width="16"/>
    <col collapsed="false" customWidth="true" hidden="false" outlineLevel="0" max="8" min="8" style="0" width="14"/>
    <col collapsed="false" customWidth="true" hidden="false" outlineLevel="0" max="9" min="9" style="0" width="12"/>
    <col collapsed="false" customWidth="true" hidden="false" outlineLevel="0" max="10" min="10" style="0" width="36"/>
    <col collapsed="false" customWidth="true" hidden="false" outlineLevel="0" max="11" min="11" style="0" width="24"/>
  </cols>
  <sheetData>
    <row r="1" customFormat="false" ht="19.7" hidden="false" customHeight="false" outlineLevel="0" collapsed="false">
      <c r="A1" s="1" t="s">
        <v>187</v>
      </c>
    </row>
    <row r="2" customFormat="false" ht="15" hidden="false" customHeight="false" outlineLevel="0" collapsed="false">
      <c r="A2" s="2" t="s">
        <v>188</v>
      </c>
    </row>
    <row r="4" customFormat="false" ht="31.5" hidden="false" customHeight="true" outlineLevel="0" collapsed="false">
      <c r="A4" s="11" t="s">
        <v>189</v>
      </c>
      <c r="B4" s="11" t="s">
        <v>79</v>
      </c>
      <c r="C4" s="11" t="s">
        <v>80</v>
      </c>
      <c r="D4" s="11" t="s">
        <v>190</v>
      </c>
      <c r="E4" s="11" t="s">
        <v>191</v>
      </c>
      <c r="F4" s="11" t="s">
        <v>192</v>
      </c>
      <c r="G4" s="11" t="s">
        <v>193</v>
      </c>
      <c r="H4" s="11" t="s">
        <v>194</v>
      </c>
      <c r="I4" s="11" t="s">
        <v>86</v>
      </c>
      <c r="J4" s="11" t="s">
        <v>195</v>
      </c>
      <c r="K4" s="11" t="s">
        <v>173</v>
      </c>
    </row>
    <row r="5" customFormat="false" ht="15" hidden="false" customHeight="false" outlineLevel="0" collapsed="false">
      <c r="A5" s="24" t="n">
        <v>46290</v>
      </c>
      <c r="B5" s="22" t="s">
        <v>104</v>
      </c>
      <c r="C5" s="25" t="str">
        <f aca="false">IF(B5="","",IFERROR(INDEX(Employees!$B$5:$B$200,MATCH(B5,Employees!$A$5:$A$200,0)),"ID not found"))</f>
        <v>Conor Walsh</v>
      </c>
      <c r="D5" s="22" t="s">
        <v>196</v>
      </c>
      <c r="E5" s="25" t="str">
        <f aca="false">IF(D5="","",IFERROR(INDEX(Lists!$I$4:$I$8,MATCH(D5,Lists!$H$4:$H$8,0)),""))</f>
        <v>Baby gift hamper</v>
      </c>
      <c r="F5" s="25" t="n">
        <f aca="false">IF(D5="","",IFERROR(INDEX(Lists!$J$4:$J$8,MATCH(D5,Lists!$H$4:$H$8,0)),""))</f>
        <v>75</v>
      </c>
      <c r="G5" s="22" t="s">
        <v>197</v>
      </c>
      <c r="H5" s="24" t="n">
        <v>46294</v>
      </c>
      <c r="I5" s="22" t="s">
        <v>161</v>
      </c>
      <c r="J5" s="22" t="s">
        <v>198</v>
      </c>
      <c r="K5" s="22"/>
    </row>
    <row r="6" customFormat="false" ht="15" hidden="false" customHeight="false" outlineLevel="0" collapsed="false">
      <c r="A6" s="24" t="n">
        <v>46296</v>
      </c>
      <c r="B6" s="22" t="s">
        <v>120</v>
      </c>
      <c r="C6" s="25" t="str">
        <f aca="false">IF(B6="","",IFERROR(INDEX(Employees!$B$5:$B$200,MATCH(B6,Employees!$A$5:$A$200,0)),"ID not found"))</f>
        <v>Liam O'Brien</v>
      </c>
      <c r="D6" s="22" t="s">
        <v>199</v>
      </c>
      <c r="E6" s="25" t="str">
        <f aca="false">IF(D6="","",IFERROR(INDEX(Lists!$I$4:$I$8,MATCH(D6,Lists!$H$4:$H$8,0)),""))</f>
        <v>Perx voucher</v>
      </c>
      <c r="F6" s="25" t="n">
        <f aca="false">IF(D6="","",IFERROR(INDEX(Lists!$J$4:$J$8,MATCH(D6,Lists!$H$4:$H$8,0)),""))</f>
        <v>150</v>
      </c>
      <c r="G6" s="22" t="s">
        <v>200</v>
      </c>
      <c r="H6" s="24"/>
      <c r="I6" s="22" t="s">
        <v>162</v>
      </c>
      <c r="J6" s="22" t="s">
        <v>201</v>
      </c>
      <c r="K6" s="22"/>
    </row>
    <row r="7" customFormat="false" ht="15" hidden="false" customHeight="false" outlineLevel="0" collapsed="false">
      <c r="A7" s="24"/>
      <c r="B7" s="22"/>
      <c r="C7" s="25" t="str">
        <f aca="false">IF(B7="","",IFERROR(INDEX(Employees!$B$5:$B$200,MATCH(B7,Employees!$A$5:$A$200,0)),"ID not found"))</f>
        <v/>
      </c>
      <c r="D7" s="22"/>
      <c r="E7" s="25" t="str">
        <f aca="false">IF(D7="","",IFERROR(INDEX(Lists!$I$4:$I$8,MATCH(D7,Lists!$H$4:$H$8,0)),""))</f>
        <v/>
      </c>
      <c r="F7" s="25" t="str">
        <f aca="false">IF(D7="","",IFERROR(INDEX(Lists!$J$4:$J$8,MATCH(D7,Lists!$H$4:$H$8,0)),""))</f>
        <v/>
      </c>
      <c r="G7" s="22"/>
      <c r="H7" s="24"/>
      <c r="I7" s="22"/>
      <c r="J7" s="22"/>
      <c r="K7" s="22"/>
    </row>
    <row r="8" customFormat="false" ht="15" hidden="false" customHeight="false" outlineLevel="0" collapsed="false">
      <c r="A8" s="24"/>
      <c r="B8" s="22"/>
      <c r="C8" s="25" t="str">
        <f aca="false">IF(B8="","",IFERROR(INDEX(Employees!$B$5:$B$200,MATCH(B8,Employees!$A$5:$A$200,0)),"ID not found"))</f>
        <v/>
      </c>
      <c r="D8" s="22"/>
      <c r="E8" s="25" t="str">
        <f aca="false">IF(D8="","",IFERROR(INDEX(Lists!$I$4:$I$8,MATCH(D8,Lists!$H$4:$H$8,0)),""))</f>
        <v/>
      </c>
      <c r="F8" s="25" t="str">
        <f aca="false">IF(D8="","",IFERROR(INDEX(Lists!$J$4:$J$8,MATCH(D8,Lists!$H$4:$H$8,0)),""))</f>
        <v/>
      </c>
      <c r="G8" s="22"/>
      <c r="H8" s="24"/>
      <c r="I8" s="22"/>
      <c r="J8" s="22"/>
      <c r="K8" s="22"/>
    </row>
    <row r="9" customFormat="false" ht="15" hidden="false" customHeight="false" outlineLevel="0" collapsed="false">
      <c r="A9" s="24"/>
      <c r="B9" s="22"/>
      <c r="C9" s="25" t="str">
        <f aca="false">IF(B9="","",IFERROR(INDEX(Employees!$B$5:$B$200,MATCH(B9,Employees!$A$5:$A$200,0)),"ID not found"))</f>
        <v/>
      </c>
      <c r="D9" s="22"/>
      <c r="E9" s="25" t="str">
        <f aca="false">IF(D9="","",IFERROR(INDEX(Lists!$I$4:$I$8,MATCH(D9,Lists!$H$4:$H$8,0)),""))</f>
        <v/>
      </c>
      <c r="F9" s="25" t="str">
        <f aca="false">IF(D9="","",IFERROR(INDEX(Lists!$J$4:$J$8,MATCH(D9,Lists!$H$4:$H$8,0)),""))</f>
        <v/>
      </c>
      <c r="G9" s="22"/>
      <c r="H9" s="24"/>
      <c r="I9" s="22"/>
      <c r="J9" s="22"/>
      <c r="K9" s="22"/>
    </row>
    <row r="10" customFormat="false" ht="15" hidden="false" customHeight="false" outlineLevel="0" collapsed="false">
      <c r="A10" s="24"/>
      <c r="B10" s="22"/>
      <c r="C10" s="25" t="str">
        <f aca="false">IF(B10="","",IFERROR(INDEX(Employees!$B$5:$B$200,MATCH(B10,Employees!$A$5:$A$200,0)),"ID not found"))</f>
        <v/>
      </c>
      <c r="D10" s="22"/>
      <c r="E10" s="25" t="str">
        <f aca="false">IF(D10="","",IFERROR(INDEX(Lists!$I$4:$I$8,MATCH(D10,Lists!$H$4:$H$8,0)),""))</f>
        <v/>
      </c>
      <c r="F10" s="25" t="str">
        <f aca="false">IF(D10="","",IFERROR(INDEX(Lists!$J$4:$J$8,MATCH(D10,Lists!$H$4:$H$8,0)),""))</f>
        <v/>
      </c>
      <c r="G10" s="22"/>
      <c r="H10" s="24"/>
      <c r="I10" s="22"/>
      <c r="J10" s="22"/>
      <c r="K10" s="22"/>
    </row>
    <row r="11" customFormat="false" ht="15" hidden="false" customHeight="false" outlineLevel="0" collapsed="false">
      <c r="A11" s="24"/>
      <c r="B11" s="22"/>
      <c r="C11" s="25" t="str">
        <f aca="false">IF(B11="","",IFERROR(INDEX(Employees!$B$5:$B$200,MATCH(B11,Employees!$A$5:$A$200,0)),"ID not found"))</f>
        <v/>
      </c>
      <c r="D11" s="22"/>
      <c r="E11" s="25" t="str">
        <f aca="false">IF(D11="","",IFERROR(INDEX(Lists!$I$4:$I$8,MATCH(D11,Lists!$H$4:$H$8,0)),""))</f>
        <v/>
      </c>
      <c r="F11" s="25" t="str">
        <f aca="false">IF(D11="","",IFERROR(INDEX(Lists!$J$4:$J$8,MATCH(D11,Lists!$H$4:$H$8,0)),""))</f>
        <v/>
      </c>
      <c r="G11" s="22"/>
      <c r="H11" s="24"/>
      <c r="I11" s="22"/>
      <c r="J11" s="22"/>
      <c r="K11" s="22"/>
    </row>
    <row r="12" customFormat="false" ht="15" hidden="false" customHeight="false" outlineLevel="0" collapsed="false">
      <c r="A12" s="24"/>
      <c r="B12" s="22"/>
      <c r="C12" s="25" t="str">
        <f aca="false">IF(B12="","",IFERROR(INDEX(Employees!$B$5:$B$200,MATCH(B12,Employees!$A$5:$A$200,0)),"ID not found"))</f>
        <v/>
      </c>
      <c r="D12" s="22"/>
      <c r="E12" s="25" t="str">
        <f aca="false">IF(D12="","",IFERROR(INDEX(Lists!$I$4:$I$8,MATCH(D12,Lists!$H$4:$H$8,0)),""))</f>
        <v/>
      </c>
      <c r="F12" s="25" t="str">
        <f aca="false">IF(D12="","",IFERROR(INDEX(Lists!$J$4:$J$8,MATCH(D12,Lists!$H$4:$H$8,0)),""))</f>
        <v/>
      </c>
      <c r="G12" s="22"/>
      <c r="H12" s="24"/>
      <c r="I12" s="22"/>
      <c r="J12" s="22"/>
      <c r="K12" s="22"/>
    </row>
    <row r="13" customFormat="false" ht="15" hidden="false" customHeight="false" outlineLevel="0" collapsed="false">
      <c r="A13" s="24"/>
      <c r="B13" s="22"/>
      <c r="C13" s="25" t="str">
        <f aca="false">IF(B13="","",IFERROR(INDEX(Employees!$B$5:$B$200,MATCH(B13,Employees!$A$5:$A$200,0)),"ID not found"))</f>
        <v/>
      </c>
      <c r="D13" s="22"/>
      <c r="E13" s="25" t="str">
        <f aca="false">IF(D13="","",IFERROR(INDEX(Lists!$I$4:$I$8,MATCH(D13,Lists!$H$4:$H$8,0)),""))</f>
        <v/>
      </c>
      <c r="F13" s="25" t="str">
        <f aca="false">IF(D13="","",IFERROR(INDEX(Lists!$J$4:$J$8,MATCH(D13,Lists!$H$4:$H$8,0)),""))</f>
        <v/>
      </c>
      <c r="G13" s="22"/>
      <c r="H13" s="24"/>
      <c r="I13" s="22"/>
      <c r="J13" s="22"/>
      <c r="K13" s="22"/>
    </row>
    <row r="14" customFormat="false" ht="15" hidden="false" customHeight="false" outlineLevel="0" collapsed="false">
      <c r="A14" s="24"/>
      <c r="B14" s="22"/>
      <c r="C14" s="25" t="str">
        <f aca="false">IF(B14="","",IFERROR(INDEX(Employees!$B$5:$B$200,MATCH(B14,Employees!$A$5:$A$200,0)),"ID not found"))</f>
        <v/>
      </c>
      <c r="D14" s="22"/>
      <c r="E14" s="25" t="str">
        <f aca="false">IF(D14="","",IFERROR(INDEX(Lists!$I$4:$I$8,MATCH(D14,Lists!$H$4:$H$8,0)),""))</f>
        <v/>
      </c>
      <c r="F14" s="25" t="str">
        <f aca="false">IF(D14="","",IFERROR(INDEX(Lists!$J$4:$J$8,MATCH(D14,Lists!$H$4:$H$8,0)),""))</f>
        <v/>
      </c>
      <c r="G14" s="22"/>
      <c r="H14" s="24"/>
      <c r="I14" s="22"/>
      <c r="J14" s="22"/>
      <c r="K14" s="22"/>
    </row>
    <row r="15" customFormat="false" ht="15" hidden="false" customHeight="false" outlineLevel="0" collapsed="false">
      <c r="A15" s="24"/>
      <c r="B15" s="22"/>
      <c r="C15" s="25" t="str">
        <f aca="false">IF(B15="","",IFERROR(INDEX(Employees!$B$5:$B$200,MATCH(B15,Employees!$A$5:$A$200,0)),"ID not found"))</f>
        <v/>
      </c>
      <c r="D15" s="22"/>
      <c r="E15" s="25" t="str">
        <f aca="false">IF(D15="","",IFERROR(INDEX(Lists!$I$4:$I$8,MATCH(D15,Lists!$H$4:$H$8,0)),""))</f>
        <v/>
      </c>
      <c r="F15" s="25" t="str">
        <f aca="false">IF(D15="","",IFERROR(INDEX(Lists!$J$4:$J$8,MATCH(D15,Lists!$H$4:$H$8,0)),""))</f>
        <v/>
      </c>
      <c r="G15" s="22"/>
      <c r="H15" s="24"/>
      <c r="I15" s="22"/>
      <c r="J15" s="22"/>
      <c r="K15" s="22"/>
    </row>
    <row r="16" customFormat="false" ht="15" hidden="false" customHeight="false" outlineLevel="0" collapsed="false">
      <c r="A16" s="24"/>
      <c r="B16" s="22"/>
      <c r="C16" s="25" t="str">
        <f aca="false">IF(B16="","",IFERROR(INDEX(Employees!$B$5:$B$200,MATCH(B16,Employees!$A$5:$A$200,0)),"ID not found"))</f>
        <v/>
      </c>
      <c r="D16" s="22"/>
      <c r="E16" s="25" t="str">
        <f aca="false">IF(D16="","",IFERROR(INDEX(Lists!$I$4:$I$8,MATCH(D16,Lists!$H$4:$H$8,0)),""))</f>
        <v/>
      </c>
      <c r="F16" s="25" t="str">
        <f aca="false">IF(D16="","",IFERROR(INDEX(Lists!$J$4:$J$8,MATCH(D16,Lists!$H$4:$H$8,0)),""))</f>
        <v/>
      </c>
      <c r="G16" s="22"/>
      <c r="H16" s="24"/>
      <c r="I16" s="22"/>
      <c r="J16" s="22"/>
      <c r="K16" s="22"/>
    </row>
    <row r="17" customFormat="false" ht="15" hidden="false" customHeight="false" outlineLevel="0" collapsed="false">
      <c r="A17" s="24"/>
      <c r="B17" s="22"/>
      <c r="C17" s="25" t="str">
        <f aca="false">IF(B17="","",IFERROR(INDEX(Employees!$B$5:$B$200,MATCH(B17,Employees!$A$5:$A$200,0)),"ID not found"))</f>
        <v/>
      </c>
      <c r="D17" s="22"/>
      <c r="E17" s="25" t="str">
        <f aca="false">IF(D17="","",IFERROR(INDEX(Lists!$I$4:$I$8,MATCH(D17,Lists!$H$4:$H$8,0)),""))</f>
        <v/>
      </c>
      <c r="F17" s="25" t="str">
        <f aca="false">IF(D17="","",IFERROR(INDEX(Lists!$J$4:$J$8,MATCH(D17,Lists!$H$4:$H$8,0)),""))</f>
        <v/>
      </c>
      <c r="G17" s="22"/>
      <c r="H17" s="24"/>
      <c r="I17" s="22"/>
      <c r="J17" s="22"/>
      <c r="K17" s="22"/>
    </row>
    <row r="18" customFormat="false" ht="15" hidden="false" customHeight="false" outlineLevel="0" collapsed="false">
      <c r="A18" s="24"/>
      <c r="B18" s="22"/>
      <c r="C18" s="25" t="str">
        <f aca="false">IF(B18="","",IFERROR(INDEX(Employees!$B$5:$B$200,MATCH(B18,Employees!$A$5:$A$200,0)),"ID not found"))</f>
        <v/>
      </c>
      <c r="D18" s="22"/>
      <c r="E18" s="25" t="str">
        <f aca="false">IF(D18="","",IFERROR(INDEX(Lists!$I$4:$I$8,MATCH(D18,Lists!$H$4:$H$8,0)),""))</f>
        <v/>
      </c>
      <c r="F18" s="25" t="str">
        <f aca="false">IF(D18="","",IFERROR(INDEX(Lists!$J$4:$J$8,MATCH(D18,Lists!$H$4:$H$8,0)),""))</f>
        <v/>
      </c>
      <c r="G18" s="22"/>
      <c r="H18" s="24"/>
      <c r="I18" s="22"/>
      <c r="J18" s="22"/>
      <c r="K18" s="22"/>
    </row>
    <row r="19" customFormat="false" ht="15" hidden="false" customHeight="false" outlineLevel="0" collapsed="false">
      <c r="A19" s="24"/>
      <c r="B19" s="22"/>
      <c r="C19" s="25" t="str">
        <f aca="false">IF(B19="","",IFERROR(INDEX(Employees!$B$5:$B$200,MATCH(B19,Employees!$A$5:$A$200,0)),"ID not found"))</f>
        <v/>
      </c>
      <c r="D19" s="22"/>
      <c r="E19" s="25" t="str">
        <f aca="false">IF(D19="","",IFERROR(INDEX(Lists!$I$4:$I$8,MATCH(D19,Lists!$H$4:$H$8,0)),""))</f>
        <v/>
      </c>
      <c r="F19" s="25" t="str">
        <f aca="false">IF(D19="","",IFERROR(INDEX(Lists!$J$4:$J$8,MATCH(D19,Lists!$H$4:$H$8,0)),""))</f>
        <v/>
      </c>
      <c r="G19" s="22"/>
      <c r="H19" s="24"/>
      <c r="I19" s="22"/>
      <c r="J19" s="22"/>
      <c r="K19" s="22"/>
    </row>
    <row r="20" customFormat="false" ht="15" hidden="false" customHeight="false" outlineLevel="0" collapsed="false">
      <c r="A20" s="24"/>
      <c r="B20" s="22"/>
      <c r="C20" s="25" t="str">
        <f aca="false">IF(B20="","",IFERROR(INDEX(Employees!$B$5:$B$200,MATCH(B20,Employees!$A$5:$A$200,0)),"ID not found"))</f>
        <v/>
      </c>
      <c r="D20" s="22"/>
      <c r="E20" s="25" t="str">
        <f aca="false">IF(D20="","",IFERROR(INDEX(Lists!$I$4:$I$8,MATCH(D20,Lists!$H$4:$H$8,0)),""))</f>
        <v/>
      </c>
      <c r="F20" s="25" t="str">
        <f aca="false">IF(D20="","",IFERROR(INDEX(Lists!$J$4:$J$8,MATCH(D20,Lists!$H$4:$H$8,0)),""))</f>
        <v/>
      </c>
      <c r="G20" s="22"/>
      <c r="H20" s="24"/>
      <c r="I20" s="22"/>
      <c r="J20" s="22"/>
      <c r="K20" s="22"/>
    </row>
    <row r="21" customFormat="false" ht="15" hidden="false" customHeight="false" outlineLevel="0" collapsed="false">
      <c r="A21" s="24"/>
      <c r="B21" s="22"/>
      <c r="C21" s="25" t="str">
        <f aca="false">IF(B21="","",IFERROR(INDEX(Employees!$B$5:$B$200,MATCH(B21,Employees!$A$5:$A$200,0)),"ID not found"))</f>
        <v/>
      </c>
      <c r="D21" s="22"/>
      <c r="E21" s="25" t="str">
        <f aca="false">IF(D21="","",IFERROR(INDEX(Lists!$I$4:$I$8,MATCH(D21,Lists!$H$4:$H$8,0)),""))</f>
        <v/>
      </c>
      <c r="F21" s="25" t="str">
        <f aca="false">IF(D21="","",IFERROR(INDEX(Lists!$J$4:$J$8,MATCH(D21,Lists!$H$4:$H$8,0)),""))</f>
        <v/>
      </c>
      <c r="G21" s="22"/>
      <c r="H21" s="24"/>
      <c r="I21" s="22"/>
      <c r="J21" s="22"/>
      <c r="K21" s="22"/>
    </row>
    <row r="22" customFormat="false" ht="15" hidden="false" customHeight="false" outlineLevel="0" collapsed="false">
      <c r="A22" s="24"/>
      <c r="B22" s="22"/>
      <c r="C22" s="25" t="str">
        <f aca="false">IF(B22="","",IFERROR(INDEX(Employees!$B$5:$B$200,MATCH(B22,Employees!$A$5:$A$200,0)),"ID not found"))</f>
        <v/>
      </c>
      <c r="D22" s="22"/>
      <c r="E22" s="25" t="str">
        <f aca="false">IF(D22="","",IFERROR(INDEX(Lists!$I$4:$I$8,MATCH(D22,Lists!$H$4:$H$8,0)),""))</f>
        <v/>
      </c>
      <c r="F22" s="25" t="str">
        <f aca="false">IF(D22="","",IFERROR(INDEX(Lists!$J$4:$J$8,MATCH(D22,Lists!$H$4:$H$8,0)),""))</f>
        <v/>
      </c>
      <c r="G22" s="22"/>
      <c r="H22" s="24"/>
      <c r="I22" s="22"/>
      <c r="J22" s="22"/>
      <c r="K22" s="22"/>
    </row>
    <row r="23" customFormat="false" ht="15" hidden="false" customHeight="false" outlineLevel="0" collapsed="false">
      <c r="A23" s="24"/>
      <c r="B23" s="22"/>
      <c r="C23" s="25" t="str">
        <f aca="false">IF(B23="","",IFERROR(INDEX(Employees!$B$5:$B$200,MATCH(B23,Employees!$A$5:$A$200,0)),"ID not found"))</f>
        <v/>
      </c>
      <c r="D23" s="22"/>
      <c r="E23" s="25" t="str">
        <f aca="false">IF(D23="","",IFERROR(INDEX(Lists!$I$4:$I$8,MATCH(D23,Lists!$H$4:$H$8,0)),""))</f>
        <v/>
      </c>
      <c r="F23" s="25" t="str">
        <f aca="false">IF(D23="","",IFERROR(INDEX(Lists!$J$4:$J$8,MATCH(D23,Lists!$H$4:$H$8,0)),""))</f>
        <v/>
      </c>
      <c r="G23" s="22"/>
      <c r="H23" s="24"/>
      <c r="I23" s="22"/>
      <c r="J23" s="22"/>
      <c r="K23" s="22"/>
    </row>
    <row r="24" customFormat="false" ht="15" hidden="false" customHeight="false" outlineLevel="0" collapsed="false">
      <c r="A24" s="24"/>
      <c r="B24" s="22"/>
      <c r="C24" s="25" t="str">
        <f aca="false">IF(B24="","",IFERROR(INDEX(Employees!$B$5:$B$200,MATCH(B24,Employees!$A$5:$A$200,0)),"ID not found"))</f>
        <v/>
      </c>
      <c r="D24" s="22"/>
      <c r="E24" s="25" t="str">
        <f aca="false">IF(D24="","",IFERROR(INDEX(Lists!$I$4:$I$8,MATCH(D24,Lists!$H$4:$H$8,0)),""))</f>
        <v/>
      </c>
      <c r="F24" s="25" t="str">
        <f aca="false">IF(D24="","",IFERROR(INDEX(Lists!$J$4:$J$8,MATCH(D24,Lists!$H$4:$H$8,0)),""))</f>
        <v/>
      </c>
      <c r="G24" s="22"/>
      <c r="H24" s="24"/>
      <c r="I24" s="22"/>
      <c r="J24" s="22"/>
      <c r="K24" s="22"/>
    </row>
    <row r="25" customFormat="false" ht="15" hidden="false" customHeight="false" outlineLevel="0" collapsed="false">
      <c r="A25" s="24"/>
      <c r="B25" s="22"/>
      <c r="C25" s="25" t="str">
        <f aca="false">IF(B25="","",IFERROR(INDEX(Employees!$B$5:$B$200,MATCH(B25,Employees!$A$5:$A$200,0)),"ID not found"))</f>
        <v/>
      </c>
      <c r="D25" s="22"/>
      <c r="E25" s="25" t="str">
        <f aca="false">IF(D25="","",IFERROR(INDEX(Lists!$I$4:$I$8,MATCH(D25,Lists!$H$4:$H$8,0)),""))</f>
        <v/>
      </c>
      <c r="F25" s="25" t="str">
        <f aca="false">IF(D25="","",IFERROR(INDEX(Lists!$J$4:$J$8,MATCH(D25,Lists!$H$4:$H$8,0)),""))</f>
        <v/>
      </c>
      <c r="G25" s="22"/>
      <c r="H25" s="24"/>
      <c r="I25" s="22"/>
      <c r="J25" s="22"/>
      <c r="K25" s="22"/>
    </row>
    <row r="26" customFormat="false" ht="15" hidden="false" customHeight="false" outlineLevel="0" collapsed="false">
      <c r="A26" s="24"/>
      <c r="B26" s="22"/>
      <c r="C26" s="25" t="str">
        <f aca="false">IF(B26="","",IFERROR(INDEX(Employees!$B$5:$B$200,MATCH(B26,Employees!$A$5:$A$200,0)),"ID not found"))</f>
        <v/>
      </c>
      <c r="D26" s="22"/>
      <c r="E26" s="25" t="str">
        <f aca="false">IF(D26="","",IFERROR(INDEX(Lists!$I$4:$I$8,MATCH(D26,Lists!$H$4:$H$8,0)),""))</f>
        <v/>
      </c>
      <c r="F26" s="25" t="str">
        <f aca="false">IF(D26="","",IFERROR(INDEX(Lists!$J$4:$J$8,MATCH(D26,Lists!$H$4:$H$8,0)),""))</f>
        <v/>
      </c>
      <c r="G26" s="22"/>
      <c r="H26" s="24"/>
      <c r="I26" s="22"/>
      <c r="J26" s="22"/>
      <c r="K26" s="22"/>
    </row>
    <row r="27" customFormat="false" ht="15" hidden="false" customHeight="false" outlineLevel="0" collapsed="false">
      <c r="A27" s="24"/>
      <c r="B27" s="22"/>
      <c r="C27" s="25" t="str">
        <f aca="false">IF(B27="","",IFERROR(INDEX(Employees!$B$5:$B$200,MATCH(B27,Employees!$A$5:$A$200,0)),"ID not found"))</f>
        <v/>
      </c>
      <c r="D27" s="22"/>
      <c r="E27" s="25" t="str">
        <f aca="false">IF(D27="","",IFERROR(INDEX(Lists!$I$4:$I$8,MATCH(D27,Lists!$H$4:$H$8,0)),""))</f>
        <v/>
      </c>
      <c r="F27" s="25" t="str">
        <f aca="false">IF(D27="","",IFERROR(INDEX(Lists!$J$4:$J$8,MATCH(D27,Lists!$H$4:$H$8,0)),""))</f>
        <v/>
      </c>
      <c r="G27" s="22"/>
      <c r="H27" s="24"/>
      <c r="I27" s="22"/>
      <c r="J27" s="22"/>
      <c r="K27" s="22"/>
    </row>
    <row r="28" customFormat="false" ht="15" hidden="false" customHeight="false" outlineLevel="0" collapsed="false">
      <c r="A28" s="24"/>
      <c r="B28" s="22"/>
      <c r="C28" s="25" t="str">
        <f aca="false">IF(B28="","",IFERROR(INDEX(Employees!$B$5:$B$200,MATCH(B28,Employees!$A$5:$A$200,0)),"ID not found"))</f>
        <v/>
      </c>
      <c r="D28" s="22"/>
      <c r="E28" s="25" t="str">
        <f aca="false">IF(D28="","",IFERROR(INDEX(Lists!$I$4:$I$8,MATCH(D28,Lists!$H$4:$H$8,0)),""))</f>
        <v/>
      </c>
      <c r="F28" s="25" t="str">
        <f aca="false">IF(D28="","",IFERROR(INDEX(Lists!$J$4:$J$8,MATCH(D28,Lists!$H$4:$H$8,0)),""))</f>
        <v/>
      </c>
      <c r="G28" s="22"/>
      <c r="H28" s="24"/>
      <c r="I28" s="22"/>
      <c r="J28" s="22"/>
      <c r="K28" s="22"/>
    </row>
    <row r="29" customFormat="false" ht="15" hidden="false" customHeight="false" outlineLevel="0" collapsed="false">
      <c r="A29" s="24"/>
      <c r="B29" s="22"/>
      <c r="C29" s="25" t="str">
        <f aca="false">IF(B29="","",IFERROR(INDEX(Employees!$B$5:$B$200,MATCH(B29,Employees!$A$5:$A$200,0)),"ID not found"))</f>
        <v/>
      </c>
      <c r="D29" s="22"/>
      <c r="E29" s="25" t="str">
        <f aca="false">IF(D29="","",IFERROR(INDEX(Lists!$I$4:$I$8,MATCH(D29,Lists!$H$4:$H$8,0)),""))</f>
        <v/>
      </c>
      <c r="F29" s="25" t="str">
        <f aca="false">IF(D29="","",IFERROR(INDEX(Lists!$J$4:$J$8,MATCH(D29,Lists!$H$4:$H$8,0)),""))</f>
        <v/>
      </c>
      <c r="G29" s="22"/>
      <c r="H29" s="24"/>
      <c r="I29" s="22"/>
      <c r="J29" s="22"/>
      <c r="K29" s="22"/>
    </row>
    <row r="30" customFormat="false" ht="15" hidden="false" customHeight="false" outlineLevel="0" collapsed="false">
      <c r="A30" s="24"/>
      <c r="B30" s="22"/>
      <c r="C30" s="25" t="str">
        <f aca="false">IF(B30="","",IFERROR(INDEX(Employees!$B$5:$B$200,MATCH(B30,Employees!$A$5:$A$200,0)),"ID not found"))</f>
        <v/>
      </c>
      <c r="D30" s="22"/>
      <c r="E30" s="25" t="str">
        <f aca="false">IF(D30="","",IFERROR(INDEX(Lists!$I$4:$I$8,MATCH(D30,Lists!$H$4:$H$8,0)),""))</f>
        <v/>
      </c>
      <c r="F30" s="25" t="str">
        <f aca="false">IF(D30="","",IFERROR(INDEX(Lists!$J$4:$J$8,MATCH(D30,Lists!$H$4:$H$8,0)),""))</f>
        <v/>
      </c>
      <c r="G30" s="22"/>
      <c r="H30" s="24"/>
      <c r="I30" s="22"/>
      <c r="J30" s="22"/>
      <c r="K30" s="22"/>
    </row>
    <row r="31" customFormat="false" ht="15" hidden="false" customHeight="false" outlineLevel="0" collapsed="false">
      <c r="A31" s="24"/>
      <c r="B31" s="22"/>
      <c r="C31" s="25" t="str">
        <f aca="false">IF(B31="","",IFERROR(INDEX(Employees!$B$5:$B$200,MATCH(B31,Employees!$A$5:$A$200,0)),"ID not found"))</f>
        <v/>
      </c>
      <c r="D31" s="22"/>
      <c r="E31" s="25" t="str">
        <f aca="false">IF(D31="","",IFERROR(INDEX(Lists!$I$4:$I$8,MATCH(D31,Lists!$H$4:$H$8,0)),""))</f>
        <v/>
      </c>
      <c r="F31" s="25" t="str">
        <f aca="false">IF(D31="","",IFERROR(INDEX(Lists!$J$4:$J$8,MATCH(D31,Lists!$H$4:$H$8,0)),""))</f>
        <v/>
      </c>
      <c r="G31" s="22"/>
      <c r="H31" s="24"/>
      <c r="I31" s="22"/>
      <c r="J31" s="22"/>
      <c r="K31" s="22"/>
    </row>
    <row r="32" customFormat="false" ht="15" hidden="false" customHeight="false" outlineLevel="0" collapsed="false">
      <c r="A32" s="24"/>
      <c r="B32" s="22"/>
      <c r="C32" s="25" t="str">
        <f aca="false">IF(B32="","",IFERROR(INDEX(Employees!$B$5:$B$200,MATCH(B32,Employees!$A$5:$A$200,0)),"ID not found"))</f>
        <v/>
      </c>
      <c r="D32" s="22"/>
      <c r="E32" s="25" t="str">
        <f aca="false">IF(D32="","",IFERROR(INDEX(Lists!$I$4:$I$8,MATCH(D32,Lists!$H$4:$H$8,0)),""))</f>
        <v/>
      </c>
      <c r="F32" s="25" t="str">
        <f aca="false">IF(D32="","",IFERROR(INDEX(Lists!$J$4:$J$8,MATCH(D32,Lists!$H$4:$H$8,0)),""))</f>
        <v/>
      </c>
      <c r="G32" s="22"/>
      <c r="H32" s="24"/>
      <c r="I32" s="22"/>
      <c r="J32" s="22"/>
      <c r="K32" s="22"/>
    </row>
    <row r="33" customFormat="false" ht="15" hidden="false" customHeight="false" outlineLevel="0" collapsed="false">
      <c r="A33" s="24"/>
      <c r="B33" s="22"/>
      <c r="C33" s="25" t="str">
        <f aca="false">IF(B33="","",IFERROR(INDEX(Employees!$B$5:$B$200,MATCH(B33,Employees!$A$5:$A$200,0)),"ID not found"))</f>
        <v/>
      </c>
      <c r="D33" s="22"/>
      <c r="E33" s="25" t="str">
        <f aca="false">IF(D33="","",IFERROR(INDEX(Lists!$I$4:$I$8,MATCH(D33,Lists!$H$4:$H$8,0)),""))</f>
        <v/>
      </c>
      <c r="F33" s="25" t="str">
        <f aca="false">IF(D33="","",IFERROR(INDEX(Lists!$J$4:$J$8,MATCH(D33,Lists!$H$4:$H$8,0)),""))</f>
        <v/>
      </c>
      <c r="G33" s="22"/>
      <c r="H33" s="24"/>
      <c r="I33" s="22"/>
      <c r="J33" s="22"/>
      <c r="K33" s="22"/>
    </row>
    <row r="34" customFormat="false" ht="15" hidden="false" customHeight="false" outlineLevel="0" collapsed="false">
      <c r="A34" s="24"/>
      <c r="B34" s="22"/>
      <c r="C34" s="25" t="str">
        <f aca="false">IF(B34="","",IFERROR(INDEX(Employees!$B$5:$B$200,MATCH(B34,Employees!$A$5:$A$200,0)),"ID not found"))</f>
        <v/>
      </c>
      <c r="D34" s="22"/>
      <c r="E34" s="25" t="str">
        <f aca="false">IF(D34="","",IFERROR(INDEX(Lists!$I$4:$I$8,MATCH(D34,Lists!$H$4:$H$8,0)),""))</f>
        <v/>
      </c>
      <c r="F34" s="25" t="str">
        <f aca="false">IF(D34="","",IFERROR(INDEX(Lists!$J$4:$J$8,MATCH(D34,Lists!$H$4:$H$8,0)),""))</f>
        <v/>
      </c>
      <c r="G34" s="22"/>
      <c r="H34" s="24"/>
      <c r="I34" s="22"/>
      <c r="J34" s="22"/>
      <c r="K34" s="22"/>
    </row>
    <row r="35" customFormat="false" ht="15" hidden="false" customHeight="false" outlineLevel="0" collapsed="false">
      <c r="A35" s="24"/>
      <c r="B35" s="22"/>
      <c r="C35" s="25" t="str">
        <f aca="false">IF(B35="","",IFERROR(INDEX(Employees!$B$5:$B$200,MATCH(B35,Employees!$A$5:$A$200,0)),"ID not found"))</f>
        <v/>
      </c>
      <c r="D35" s="22"/>
      <c r="E35" s="25" t="str">
        <f aca="false">IF(D35="","",IFERROR(INDEX(Lists!$I$4:$I$8,MATCH(D35,Lists!$H$4:$H$8,0)),""))</f>
        <v/>
      </c>
      <c r="F35" s="25" t="str">
        <f aca="false">IF(D35="","",IFERROR(INDEX(Lists!$J$4:$J$8,MATCH(D35,Lists!$H$4:$H$8,0)),""))</f>
        <v/>
      </c>
      <c r="G35" s="22"/>
      <c r="H35" s="24"/>
      <c r="I35" s="22"/>
      <c r="J35" s="22"/>
      <c r="K35" s="22"/>
    </row>
    <row r="36" customFormat="false" ht="15" hidden="false" customHeight="false" outlineLevel="0" collapsed="false">
      <c r="A36" s="24"/>
      <c r="B36" s="22"/>
      <c r="C36" s="25" t="str">
        <f aca="false">IF(B36="","",IFERROR(INDEX(Employees!$B$5:$B$200,MATCH(B36,Employees!$A$5:$A$200,0)),"ID not found"))</f>
        <v/>
      </c>
      <c r="D36" s="22"/>
      <c r="E36" s="25" t="str">
        <f aca="false">IF(D36="","",IFERROR(INDEX(Lists!$I$4:$I$8,MATCH(D36,Lists!$H$4:$H$8,0)),""))</f>
        <v/>
      </c>
      <c r="F36" s="25" t="str">
        <f aca="false">IF(D36="","",IFERROR(INDEX(Lists!$J$4:$J$8,MATCH(D36,Lists!$H$4:$H$8,0)),""))</f>
        <v/>
      </c>
      <c r="G36" s="22"/>
      <c r="H36" s="24"/>
      <c r="I36" s="22"/>
      <c r="J36" s="22"/>
      <c r="K36" s="22"/>
    </row>
    <row r="37" customFormat="false" ht="15" hidden="false" customHeight="false" outlineLevel="0" collapsed="false">
      <c r="A37" s="24"/>
      <c r="B37" s="22"/>
      <c r="C37" s="25" t="str">
        <f aca="false">IF(B37="","",IFERROR(INDEX(Employees!$B$5:$B$200,MATCH(B37,Employees!$A$5:$A$200,0)),"ID not found"))</f>
        <v/>
      </c>
      <c r="D37" s="22"/>
      <c r="E37" s="25" t="str">
        <f aca="false">IF(D37="","",IFERROR(INDEX(Lists!$I$4:$I$8,MATCH(D37,Lists!$H$4:$H$8,0)),""))</f>
        <v/>
      </c>
      <c r="F37" s="25" t="str">
        <f aca="false">IF(D37="","",IFERROR(INDEX(Lists!$J$4:$J$8,MATCH(D37,Lists!$H$4:$H$8,0)),""))</f>
        <v/>
      </c>
      <c r="G37" s="22"/>
      <c r="H37" s="24"/>
      <c r="I37" s="22"/>
      <c r="J37" s="22"/>
      <c r="K37" s="22"/>
    </row>
    <row r="38" customFormat="false" ht="15" hidden="false" customHeight="false" outlineLevel="0" collapsed="false">
      <c r="A38" s="24"/>
      <c r="B38" s="22"/>
      <c r="C38" s="25" t="str">
        <f aca="false">IF(B38="","",IFERROR(INDEX(Employees!$B$5:$B$200,MATCH(B38,Employees!$A$5:$A$200,0)),"ID not found"))</f>
        <v/>
      </c>
      <c r="D38" s="22"/>
      <c r="E38" s="25" t="str">
        <f aca="false">IF(D38="","",IFERROR(INDEX(Lists!$I$4:$I$8,MATCH(D38,Lists!$H$4:$H$8,0)),""))</f>
        <v/>
      </c>
      <c r="F38" s="25" t="str">
        <f aca="false">IF(D38="","",IFERROR(INDEX(Lists!$J$4:$J$8,MATCH(D38,Lists!$H$4:$H$8,0)),""))</f>
        <v/>
      </c>
      <c r="G38" s="22"/>
      <c r="H38" s="24"/>
      <c r="I38" s="22"/>
      <c r="J38" s="22"/>
      <c r="K38" s="22"/>
    </row>
    <row r="39" customFormat="false" ht="15" hidden="false" customHeight="false" outlineLevel="0" collapsed="false">
      <c r="A39" s="24"/>
      <c r="B39" s="22"/>
      <c r="C39" s="25" t="str">
        <f aca="false">IF(B39="","",IFERROR(INDEX(Employees!$B$5:$B$200,MATCH(B39,Employees!$A$5:$A$200,0)),"ID not found"))</f>
        <v/>
      </c>
      <c r="D39" s="22"/>
      <c r="E39" s="25" t="str">
        <f aca="false">IF(D39="","",IFERROR(INDEX(Lists!$I$4:$I$8,MATCH(D39,Lists!$H$4:$H$8,0)),""))</f>
        <v/>
      </c>
      <c r="F39" s="25" t="str">
        <f aca="false">IF(D39="","",IFERROR(INDEX(Lists!$J$4:$J$8,MATCH(D39,Lists!$H$4:$H$8,0)),""))</f>
        <v/>
      </c>
      <c r="G39" s="22"/>
      <c r="H39" s="24"/>
      <c r="I39" s="22"/>
      <c r="J39" s="22"/>
      <c r="K39" s="22"/>
    </row>
    <row r="40" customFormat="false" ht="15" hidden="false" customHeight="false" outlineLevel="0" collapsed="false">
      <c r="A40" s="24"/>
      <c r="B40" s="22"/>
      <c r="C40" s="25" t="str">
        <f aca="false">IF(B40="","",IFERROR(INDEX(Employees!$B$5:$B$200,MATCH(B40,Employees!$A$5:$A$200,0)),"ID not found"))</f>
        <v/>
      </c>
      <c r="D40" s="22"/>
      <c r="E40" s="25" t="str">
        <f aca="false">IF(D40="","",IFERROR(INDEX(Lists!$I$4:$I$8,MATCH(D40,Lists!$H$4:$H$8,0)),""))</f>
        <v/>
      </c>
      <c r="F40" s="25" t="str">
        <f aca="false">IF(D40="","",IFERROR(INDEX(Lists!$J$4:$J$8,MATCH(D40,Lists!$H$4:$H$8,0)),""))</f>
        <v/>
      </c>
      <c r="G40" s="22"/>
      <c r="H40" s="24"/>
      <c r="I40" s="22"/>
      <c r="J40" s="22"/>
      <c r="K40" s="22"/>
    </row>
    <row r="41" customFormat="false" ht="15" hidden="false" customHeight="false" outlineLevel="0" collapsed="false">
      <c r="A41" s="24"/>
      <c r="B41" s="22"/>
      <c r="C41" s="25" t="str">
        <f aca="false">IF(B41="","",IFERROR(INDEX(Employees!$B$5:$B$200,MATCH(B41,Employees!$A$5:$A$200,0)),"ID not found"))</f>
        <v/>
      </c>
      <c r="D41" s="22"/>
      <c r="E41" s="25" t="str">
        <f aca="false">IF(D41="","",IFERROR(INDEX(Lists!$I$4:$I$8,MATCH(D41,Lists!$H$4:$H$8,0)),""))</f>
        <v/>
      </c>
      <c r="F41" s="25" t="str">
        <f aca="false">IF(D41="","",IFERROR(INDEX(Lists!$J$4:$J$8,MATCH(D41,Lists!$H$4:$H$8,0)),""))</f>
        <v/>
      </c>
      <c r="G41" s="22"/>
      <c r="H41" s="24"/>
      <c r="I41" s="22"/>
      <c r="J41" s="22"/>
      <c r="K41" s="22"/>
    </row>
    <row r="42" customFormat="false" ht="15" hidden="false" customHeight="false" outlineLevel="0" collapsed="false">
      <c r="A42" s="24"/>
      <c r="B42" s="22"/>
      <c r="C42" s="25" t="str">
        <f aca="false">IF(B42="","",IFERROR(INDEX(Employees!$B$5:$B$200,MATCH(B42,Employees!$A$5:$A$200,0)),"ID not found"))</f>
        <v/>
      </c>
      <c r="D42" s="22"/>
      <c r="E42" s="25" t="str">
        <f aca="false">IF(D42="","",IFERROR(INDEX(Lists!$I$4:$I$8,MATCH(D42,Lists!$H$4:$H$8,0)),""))</f>
        <v/>
      </c>
      <c r="F42" s="25" t="str">
        <f aca="false">IF(D42="","",IFERROR(INDEX(Lists!$J$4:$J$8,MATCH(D42,Lists!$H$4:$H$8,0)),""))</f>
        <v/>
      </c>
      <c r="G42" s="22"/>
      <c r="H42" s="24"/>
      <c r="I42" s="22"/>
      <c r="J42" s="22"/>
      <c r="K42" s="22"/>
    </row>
    <row r="43" customFormat="false" ht="15" hidden="false" customHeight="false" outlineLevel="0" collapsed="false">
      <c r="A43" s="24"/>
      <c r="B43" s="22"/>
      <c r="C43" s="25" t="str">
        <f aca="false">IF(B43="","",IFERROR(INDEX(Employees!$B$5:$B$200,MATCH(B43,Employees!$A$5:$A$200,0)),"ID not found"))</f>
        <v/>
      </c>
      <c r="D43" s="22"/>
      <c r="E43" s="25" t="str">
        <f aca="false">IF(D43="","",IFERROR(INDEX(Lists!$I$4:$I$8,MATCH(D43,Lists!$H$4:$H$8,0)),""))</f>
        <v/>
      </c>
      <c r="F43" s="25" t="str">
        <f aca="false">IF(D43="","",IFERROR(INDEX(Lists!$J$4:$J$8,MATCH(D43,Lists!$H$4:$H$8,0)),""))</f>
        <v/>
      </c>
      <c r="G43" s="22"/>
      <c r="H43" s="24"/>
      <c r="I43" s="22"/>
      <c r="J43" s="22"/>
      <c r="K43" s="22"/>
    </row>
    <row r="44" customFormat="false" ht="15" hidden="false" customHeight="false" outlineLevel="0" collapsed="false">
      <c r="A44" s="24"/>
      <c r="B44" s="22"/>
      <c r="C44" s="25" t="str">
        <f aca="false">IF(B44="","",IFERROR(INDEX(Employees!$B$5:$B$200,MATCH(B44,Employees!$A$5:$A$200,0)),"ID not found"))</f>
        <v/>
      </c>
      <c r="D44" s="22"/>
      <c r="E44" s="25" t="str">
        <f aca="false">IF(D44="","",IFERROR(INDEX(Lists!$I$4:$I$8,MATCH(D44,Lists!$H$4:$H$8,0)),""))</f>
        <v/>
      </c>
      <c r="F44" s="25" t="str">
        <f aca="false">IF(D44="","",IFERROR(INDEX(Lists!$J$4:$J$8,MATCH(D44,Lists!$H$4:$H$8,0)),""))</f>
        <v/>
      </c>
      <c r="G44" s="22"/>
      <c r="H44" s="24"/>
      <c r="I44" s="22"/>
      <c r="J44" s="22"/>
      <c r="K44" s="22"/>
    </row>
    <row r="45" customFormat="false" ht="15" hidden="false" customHeight="false" outlineLevel="0" collapsed="false">
      <c r="A45" s="24"/>
      <c r="B45" s="22"/>
      <c r="C45" s="25" t="str">
        <f aca="false">IF(B45="","",IFERROR(INDEX(Employees!$B$5:$B$200,MATCH(B45,Employees!$A$5:$A$200,0)),"ID not found"))</f>
        <v/>
      </c>
      <c r="D45" s="22"/>
      <c r="E45" s="25" t="str">
        <f aca="false">IF(D45="","",IFERROR(INDEX(Lists!$I$4:$I$8,MATCH(D45,Lists!$H$4:$H$8,0)),""))</f>
        <v/>
      </c>
      <c r="F45" s="25" t="str">
        <f aca="false">IF(D45="","",IFERROR(INDEX(Lists!$J$4:$J$8,MATCH(D45,Lists!$H$4:$H$8,0)),""))</f>
        <v/>
      </c>
      <c r="G45" s="22"/>
      <c r="H45" s="24"/>
      <c r="I45" s="22"/>
      <c r="J45" s="22"/>
      <c r="K45" s="22"/>
    </row>
    <row r="46" customFormat="false" ht="15" hidden="false" customHeight="false" outlineLevel="0" collapsed="false">
      <c r="A46" s="24"/>
      <c r="B46" s="22"/>
      <c r="C46" s="25" t="str">
        <f aca="false">IF(B46="","",IFERROR(INDEX(Employees!$B$5:$B$200,MATCH(B46,Employees!$A$5:$A$200,0)),"ID not found"))</f>
        <v/>
      </c>
      <c r="D46" s="22"/>
      <c r="E46" s="25" t="str">
        <f aca="false">IF(D46="","",IFERROR(INDEX(Lists!$I$4:$I$8,MATCH(D46,Lists!$H$4:$H$8,0)),""))</f>
        <v/>
      </c>
      <c r="F46" s="25" t="str">
        <f aca="false">IF(D46="","",IFERROR(INDEX(Lists!$J$4:$J$8,MATCH(D46,Lists!$H$4:$H$8,0)),""))</f>
        <v/>
      </c>
      <c r="G46" s="22"/>
      <c r="H46" s="24"/>
      <c r="I46" s="22"/>
      <c r="J46" s="22"/>
      <c r="K46" s="22"/>
    </row>
    <row r="47" customFormat="false" ht="15" hidden="false" customHeight="false" outlineLevel="0" collapsed="false">
      <c r="A47" s="24"/>
      <c r="B47" s="22"/>
      <c r="C47" s="25" t="str">
        <f aca="false">IF(B47="","",IFERROR(INDEX(Employees!$B$5:$B$200,MATCH(B47,Employees!$A$5:$A$200,0)),"ID not found"))</f>
        <v/>
      </c>
      <c r="D47" s="22"/>
      <c r="E47" s="25" t="str">
        <f aca="false">IF(D47="","",IFERROR(INDEX(Lists!$I$4:$I$8,MATCH(D47,Lists!$H$4:$H$8,0)),""))</f>
        <v/>
      </c>
      <c r="F47" s="25" t="str">
        <f aca="false">IF(D47="","",IFERROR(INDEX(Lists!$J$4:$J$8,MATCH(D47,Lists!$H$4:$H$8,0)),""))</f>
        <v/>
      </c>
      <c r="G47" s="22"/>
      <c r="H47" s="24"/>
      <c r="I47" s="22"/>
      <c r="J47" s="22"/>
      <c r="K47" s="22"/>
    </row>
    <row r="48" customFormat="false" ht="15" hidden="false" customHeight="false" outlineLevel="0" collapsed="false">
      <c r="A48" s="24"/>
      <c r="B48" s="22"/>
      <c r="C48" s="25" t="str">
        <f aca="false">IF(B48="","",IFERROR(INDEX(Employees!$B$5:$B$200,MATCH(B48,Employees!$A$5:$A$200,0)),"ID not found"))</f>
        <v/>
      </c>
      <c r="D48" s="22"/>
      <c r="E48" s="25" t="str">
        <f aca="false">IF(D48="","",IFERROR(INDEX(Lists!$I$4:$I$8,MATCH(D48,Lists!$H$4:$H$8,0)),""))</f>
        <v/>
      </c>
      <c r="F48" s="25" t="str">
        <f aca="false">IF(D48="","",IFERROR(INDEX(Lists!$J$4:$J$8,MATCH(D48,Lists!$H$4:$H$8,0)),""))</f>
        <v/>
      </c>
      <c r="G48" s="22"/>
      <c r="H48" s="24"/>
      <c r="I48" s="22"/>
      <c r="J48" s="22"/>
      <c r="K48" s="22"/>
    </row>
    <row r="49" customFormat="false" ht="15" hidden="false" customHeight="false" outlineLevel="0" collapsed="false">
      <c r="A49" s="24"/>
      <c r="B49" s="22"/>
      <c r="C49" s="25" t="str">
        <f aca="false">IF(B49="","",IFERROR(INDEX(Employees!$B$5:$B$200,MATCH(B49,Employees!$A$5:$A$200,0)),"ID not found"))</f>
        <v/>
      </c>
      <c r="D49" s="22"/>
      <c r="E49" s="25" t="str">
        <f aca="false">IF(D49="","",IFERROR(INDEX(Lists!$I$4:$I$8,MATCH(D49,Lists!$H$4:$H$8,0)),""))</f>
        <v/>
      </c>
      <c r="F49" s="25" t="str">
        <f aca="false">IF(D49="","",IFERROR(INDEX(Lists!$J$4:$J$8,MATCH(D49,Lists!$H$4:$H$8,0)),""))</f>
        <v/>
      </c>
      <c r="G49" s="22"/>
      <c r="H49" s="24"/>
      <c r="I49" s="22"/>
      <c r="J49" s="22"/>
      <c r="K49" s="22"/>
    </row>
    <row r="50" customFormat="false" ht="15" hidden="false" customHeight="false" outlineLevel="0" collapsed="false">
      <c r="A50" s="24"/>
      <c r="B50" s="22"/>
      <c r="C50" s="25" t="str">
        <f aca="false">IF(B50="","",IFERROR(INDEX(Employees!$B$5:$B$200,MATCH(B50,Employees!$A$5:$A$200,0)),"ID not found"))</f>
        <v/>
      </c>
      <c r="D50" s="22"/>
      <c r="E50" s="25" t="str">
        <f aca="false">IF(D50="","",IFERROR(INDEX(Lists!$I$4:$I$8,MATCH(D50,Lists!$H$4:$H$8,0)),""))</f>
        <v/>
      </c>
      <c r="F50" s="25" t="str">
        <f aca="false">IF(D50="","",IFERROR(INDEX(Lists!$J$4:$J$8,MATCH(D50,Lists!$H$4:$H$8,0)),""))</f>
        <v/>
      </c>
      <c r="G50" s="22"/>
      <c r="H50" s="24"/>
      <c r="I50" s="22"/>
      <c r="J50" s="22"/>
      <c r="K50" s="22"/>
    </row>
    <row r="51" customFormat="false" ht="15" hidden="false" customHeight="false" outlineLevel="0" collapsed="false">
      <c r="A51" s="24"/>
      <c r="B51" s="22"/>
      <c r="C51" s="25" t="str">
        <f aca="false">IF(B51="","",IFERROR(INDEX(Employees!$B$5:$B$200,MATCH(B51,Employees!$A$5:$A$200,0)),"ID not found"))</f>
        <v/>
      </c>
      <c r="D51" s="22"/>
      <c r="E51" s="25" t="str">
        <f aca="false">IF(D51="","",IFERROR(INDEX(Lists!$I$4:$I$8,MATCH(D51,Lists!$H$4:$H$8,0)),""))</f>
        <v/>
      </c>
      <c r="F51" s="25" t="str">
        <f aca="false">IF(D51="","",IFERROR(INDEX(Lists!$J$4:$J$8,MATCH(D51,Lists!$H$4:$H$8,0)),""))</f>
        <v/>
      </c>
      <c r="G51" s="22"/>
      <c r="H51" s="24"/>
      <c r="I51" s="22"/>
      <c r="J51" s="22"/>
      <c r="K51" s="22"/>
    </row>
    <row r="52" customFormat="false" ht="15" hidden="false" customHeight="false" outlineLevel="0" collapsed="false">
      <c r="A52" s="24"/>
      <c r="B52" s="22"/>
      <c r="C52" s="25" t="str">
        <f aca="false">IF(B52="","",IFERROR(INDEX(Employees!$B$5:$B$200,MATCH(B52,Employees!$A$5:$A$200,0)),"ID not found"))</f>
        <v/>
      </c>
      <c r="D52" s="22"/>
      <c r="E52" s="25" t="str">
        <f aca="false">IF(D52="","",IFERROR(INDEX(Lists!$I$4:$I$8,MATCH(D52,Lists!$H$4:$H$8,0)),""))</f>
        <v/>
      </c>
      <c r="F52" s="25" t="str">
        <f aca="false">IF(D52="","",IFERROR(INDEX(Lists!$J$4:$J$8,MATCH(D52,Lists!$H$4:$H$8,0)),""))</f>
        <v/>
      </c>
      <c r="G52" s="22"/>
      <c r="H52" s="24"/>
      <c r="I52" s="22"/>
      <c r="J52" s="22"/>
      <c r="K52" s="22"/>
    </row>
    <row r="53" customFormat="false" ht="15" hidden="false" customHeight="false" outlineLevel="0" collapsed="false">
      <c r="A53" s="24"/>
      <c r="B53" s="22"/>
      <c r="C53" s="25" t="str">
        <f aca="false">IF(B53="","",IFERROR(INDEX(Employees!$B$5:$B$200,MATCH(B53,Employees!$A$5:$A$200,0)),"ID not found"))</f>
        <v/>
      </c>
      <c r="D53" s="22"/>
      <c r="E53" s="25" t="str">
        <f aca="false">IF(D53="","",IFERROR(INDEX(Lists!$I$4:$I$8,MATCH(D53,Lists!$H$4:$H$8,0)),""))</f>
        <v/>
      </c>
      <c r="F53" s="25" t="str">
        <f aca="false">IF(D53="","",IFERROR(INDEX(Lists!$J$4:$J$8,MATCH(D53,Lists!$H$4:$H$8,0)),""))</f>
        <v/>
      </c>
      <c r="G53" s="22"/>
      <c r="H53" s="24"/>
      <c r="I53" s="22"/>
      <c r="J53" s="22"/>
      <c r="K53" s="22"/>
    </row>
    <row r="54" customFormat="false" ht="15" hidden="false" customHeight="false" outlineLevel="0" collapsed="false">
      <c r="A54" s="24"/>
      <c r="B54" s="22"/>
      <c r="C54" s="25" t="str">
        <f aca="false">IF(B54="","",IFERROR(INDEX(Employees!$B$5:$B$200,MATCH(B54,Employees!$A$5:$A$200,0)),"ID not found"))</f>
        <v/>
      </c>
      <c r="D54" s="22"/>
      <c r="E54" s="25" t="str">
        <f aca="false">IF(D54="","",IFERROR(INDEX(Lists!$I$4:$I$8,MATCH(D54,Lists!$H$4:$H$8,0)),""))</f>
        <v/>
      </c>
      <c r="F54" s="25" t="str">
        <f aca="false">IF(D54="","",IFERROR(INDEX(Lists!$J$4:$J$8,MATCH(D54,Lists!$H$4:$H$8,0)),""))</f>
        <v/>
      </c>
      <c r="G54" s="22"/>
      <c r="H54" s="24"/>
      <c r="I54" s="22"/>
      <c r="J54" s="22"/>
      <c r="K54" s="22"/>
    </row>
    <row r="55" customFormat="false" ht="15" hidden="false" customHeight="false" outlineLevel="0" collapsed="false">
      <c r="A55" s="24"/>
      <c r="B55" s="22"/>
      <c r="C55" s="25" t="str">
        <f aca="false">IF(B55="","",IFERROR(INDEX(Employees!$B$5:$B$200,MATCH(B55,Employees!$A$5:$A$200,0)),"ID not found"))</f>
        <v/>
      </c>
      <c r="D55" s="22"/>
      <c r="E55" s="25" t="str">
        <f aca="false">IF(D55="","",IFERROR(INDEX(Lists!$I$4:$I$8,MATCH(D55,Lists!$H$4:$H$8,0)),""))</f>
        <v/>
      </c>
      <c r="F55" s="25" t="str">
        <f aca="false">IF(D55="","",IFERROR(INDEX(Lists!$J$4:$J$8,MATCH(D55,Lists!$H$4:$H$8,0)),""))</f>
        <v/>
      </c>
      <c r="G55" s="22"/>
      <c r="H55" s="24"/>
      <c r="I55" s="22"/>
      <c r="J55" s="22"/>
      <c r="K55" s="22"/>
    </row>
    <row r="56" customFormat="false" ht="15" hidden="false" customHeight="false" outlineLevel="0" collapsed="false">
      <c r="A56" s="24"/>
      <c r="B56" s="22"/>
      <c r="C56" s="25" t="str">
        <f aca="false">IF(B56="","",IFERROR(INDEX(Employees!$B$5:$B$200,MATCH(B56,Employees!$A$5:$A$200,0)),"ID not found"))</f>
        <v/>
      </c>
      <c r="D56" s="22"/>
      <c r="E56" s="25" t="str">
        <f aca="false">IF(D56="","",IFERROR(INDEX(Lists!$I$4:$I$8,MATCH(D56,Lists!$H$4:$H$8,0)),""))</f>
        <v/>
      </c>
      <c r="F56" s="25" t="str">
        <f aca="false">IF(D56="","",IFERROR(INDEX(Lists!$J$4:$J$8,MATCH(D56,Lists!$H$4:$H$8,0)),""))</f>
        <v/>
      </c>
      <c r="G56" s="22"/>
      <c r="H56" s="24"/>
      <c r="I56" s="22"/>
      <c r="J56" s="22"/>
      <c r="K56" s="22"/>
    </row>
    <row r="57" customFormat="false" ht="15" hidden="false" customHeight="false" outlineLevel="0" collapsed="false">
      <c r="A57" s="24"/>
      <c r="B57" s="22"/>
      <c r="C57" s="25" t="str">
        <f aca="false">IF(B57="","",IFERROR(INDEX(Employees!$B$5:$B$200,MATCH(B57,Employees!$A$5:$A$200,0)),"ID not found"))</f>
        <v/>
      </c>
      <c r="D57" s="22"/>
      <c r="E57" s="25" t="str">
        <f aca="false">IF(D57="","",IFERROR(INDEX(Lists!$I$4:$I$8,MATCH(D57,Lists!$H$4:$H$8,0)),""))</f>
        <v/>
      </c>
      <c r="F57" s="25" t="str">
        <f aca="false">IF(D57="","",IFERROR(INDEX(Lists!$J$4:$J$8,MATCH(D57,Lists!$H$4:$H$8,0)),""))</f>
        <v/>
      </c>
      <c r="G57" s="22"/>
      <c r="H57" s="24"/>
      <c r="I57" s="22"/>
      <c r="J57" s="22"/>
      <c r="K57" s="22"/>
    </row>
    <row r="58" customFormat="false" ht="15" hidden="false" customHeight="false" outlineLevel="0" collapsed="false">
      <c r="A58" s="24"/>
      <c r="B58" s="22"/>
      <c r="C58" s="25" t="str">
        <f aca="false">IF(B58="","",IFERROR(INDEX(Employees!$B$5:$B$200,MATCH(B58,Employees!$A$5:$A$200,0)),"ID not found"))</f>
        <v/>
      </c>
      <c r="D58" s="22"/>
      <c r="E58" s="25" t="str">
        <f aca="false">IF(D58="","",IFERROR(INDEX(Lists!$I$4:$I$8,MATCH(D58,Lists!$H$4:$H$8,0)),""))</f>
        <v/>
      </c>
      <c r="F58" s="25" t="str">
        <f aca="false">IF(D58="","",IFERROR(INDEX(Lists!$J$4:$J$8,MATCH(D58,Lists!$H$4:$H$8,0)),""))</f>
        <v/>
      </c>
      <c r="G58" s="22"/>
      <c r="H58" s="24"/>
      <c r="I58" s="22"/>
      <c r="J58" s="22"/>
      <c r="K58" s="22"/>
    </row>
    <row r="59" customFormat="false" ht="15" hidden="false" customHeight="false" outlineLevel="0" collapsed="false">
      <c r="A59" s="24"/>
      <c r="B59" s="22"/>
      <c r="C59" s="25" t="str">
        <f aca="false">IF(B59="","",IFERROR(INDEX(Employees!$B$5:$B$200,MATCH(B59,Employees!$A$5:$A$200,0)),"ID not found"))</f>
        <v/>
      </c>
      <c r="D59" s="22"/>
      <c r="E59" s="25" t="str">
        <f aca="false">IF(D59="","",IFERROR(INDEX(Lists!$I$4:$I$8,MATCH(D59,Lists!$H$4:$H$8,0)),""))</f>
        <v/>
      </c>
      <c r="F59" s="25" t="str">
        <f aca="false">IF(D59="","",IFERROR(INDEX(Lists!$J$4:$J$8,MATCH(D59,Lists!$H$4:$H$8,0)),""))</f>
        <v/>
      </c>
      <c r="G59" s="22"/>
      <c r="H59" s="24"/>
      <c r="I59" s="22"/>
      <c r="J59" s="22"/>
      <c r="K59" s="22"/>
    </row>
    <row r="60" customFormat="false" ht="15" hidden="false" customHeight="false" outlineLevel="0" collapsed="false">
      <c r="A60" s="24"/>
      <c r="B60" s="22"/>
      <c r="C60" s="25" t="str">
        <f aca="false">IF(B60="","",IFERROR(INDEX(Employees!$B$5:$B$200,MATCH(B60,Employees!$A$5:$A$200,0)),"ID not found"))</f>
        <v/>
      </c>
      <c r="D60" s="22"/>
      <c r="E60" s="25" t="str">
        <f aca="false">IF(D60="","",IFERROR(INDEX(Lists!$I$4:$I$8,MATCH(D60,Lists!$H$4:$H$8,0)),""))</f>
        <v/>
      </c>
      <c r="F60" s="25" t="str">
        <f aca="false">IF(D60="","",IFERROR(INDEX(Lists!$J$4:$J$8,MATCH(D60,Lists!$H$4:$H$8,0)),""))</f>
        <v/>
      </c>
      <c r="G60" s="22"/>
      <c r="H60" s="24"/>
      <c r="I60" s="22"/>
      <c r="J60" s="22"/>
      <c r="K60" s="22"/>
    </row>
    <row r="61" customFormat="false" ht="15" hidden="false" customHeight="false" outlineLevel="0" collapsed="false">
      <c r="A61" s="24"/>
      <c r="B61" s="22"/>
      <c r="C61" s="25" t="str">
        <f aca="false">IF(B61="","",IFERROR(INDEX(Employees!$B$5:$B$200,MATCH(B61,Employees!$A$5:$A$200,0)),"ID not found"))</f>
        <v/>
      </c>
      <c r="D61" s="22"/>
      <c r="E61" s="25" t="str">
        <f aca="false">IF(D61="","",IFERROR(INDEX(Lists!$I$4:$I$8,MATCH(D61,Lists!$H$4:$H$8,0)),""))</f>
        <v/>
      </c>
      <c r="F61" s="25" t="str">
        <f aca="false">IF(D61="","",IFERROR(INDEX(Lists!$J$4:$J$8,MATCH(D61,Lists!$H$4:$H$8,0)),""))</f>
        <v/>
      </c>
      <c r="G61" s="22"/>
      <c r="H61" s="24"/>
      <c r="I61" s="22"/>
      <c r="J61" s="22"/>
      <c r="K61" s="22"/>
    </row>
    <row r="62" customFormat="false" ht="15" hidden="false" customHeight="false" outlineLevel="0" collapsed="false">
      <c r="A62" s="24"/>
      <c r="B62" s="22"/>
      <c r="C62" s="25" t="str">
        <f aca="false">IF(B62="","",IFERROR(INDEX(Employees!$B$5:$B$200,MATCH(B62,Employees!$A$5:$A$200,0)),"ID not found"))</f>
        <v/>
      </c>
      <c r="D62" s="22"/>
      <c r="E62" s="25" t="str">
        <f aca="false">IF(D62="","",IFERROR(INDEX(Lists!$I$4:$I$8,MATCH(D62,Lists!$H$4:$H$8,0)),""))</f>
        <v/>
      </c>
      <c r="F62" s="25" t="str">
        <f aca="false">IF(D62="","",IFERROR(INDEX(Lists!$J$4:$J$8,MATCH(D62,Lists!$H$4:$H$8,0)),""))</f>
        <v/>
      </c>
      <c r="G62" s="22"/>
      <c r="H62" s="24"/>
      <c r="I62" s="22"/>
      <c r="J62" s="22"/>
      <c r="K62" s="22"/>
    </row>
    <row r="63" customFormat="false" ht="15" hidden="false" customHeight="false" outlineLevel="0" collapsed="false">
      <c r="A63" s="24"/>
      <c r="B63" s="22"/>
      <c r="C63" s="25" t="str">
        <f aca="false">IF(B63="","",IFERROR(INDEX(Employees!$B$5:$B$200,MATCH(B63,Employees!$A$5:$A$200,0)),"ID not found"))</f>
        <v/>
      </c>
      <c r="D63" s="22"/>
      <c r="E63" s="25" t="str">
        <f aca="false">IF(D63="","",IFERROR(INDEX(Lists!$I$4:$I$8,MATCH(D63,Lists!$H$4:$H$8,0)),""))</f>
        <v/>
      </c>
      <c r="F63" s="25" t="str">
        <f aca="false">IF(D63="","",IFERROR(INDEX(Lists!$J$4:$J$8,MATCH(D63,Lists!$H$4:$H$8,0)),""))</f>
        <v/>
      </c>
      <c r="G63" s="22"/>
      <c r="H63" s="24"/>
      <c r="I63" s="22"/>
      <c r="J63" s="22"/>
      <c r="K63" s="22"/>
    </row>
    <row r="64" customFormat="false" ht="15" hidden="false" customHeight="false" outlineLevel="0" collapsed="false">
      <c r="A64" s="24"/>
      <c r="B64" s="22"/>
      <c r="C64" s="25" t="str">
        <f aca="false">IF(B64="","",IFERROR(INDEX(Employees!$B$5:$B$200,MATCH(B64,Employees!$A$5:$A$200,0)),"ID not found"))</f>
        <v/>
      </c>
      <c r="D64" s="22"/>
      <c r="E64" s="25" t="str">
        <f aca="false">IF(D64="","",IFERROR(INDEX(Lists!$I$4:$I$8,MATCH(D64,Lists!$H$4:$H$8,0)),""))</f>
        <v/>
      </c>
      <c r="F64" s="25" t="str">
        <f aca="false">IF(D64="","",IFERROR(INDEX(Lists!$J$4:$J$8,MATCH(D64,Lists!$H$4:$H$8,0)),""))</f>
        <v/>
      </c>
      <c r="G64" s="22"/>
      <c r="H64" s="24"/>
      <c r="I64" s="22"/>
      <c r="J64" s="22"/>
      <c r="K64" s="22"/>
    </row>
    <row r="65" customFormat="false" ht="15" hidden="false" customHeight="false" outlineLevel="0" collapsed="false">
      <c r="A65" s="24"/>
      <c r="B65" s="22"/>
      <c r="C65" s="25" t="str">
        <f aca="false">IF(B65="","",IFERROR(INDEX(Employees!$B$5:$B$200,MATCH(B65,Employees!$A$5:$A$200,0)),"ID not found"))</f>
        <v/>
      </c>
      <c r="D65" s="22"/>
      <c r="E65" s="25" t="str">
        <f aca="false">IF(D65="","",IFERROR(INDEX(Lists!$I$4:$I$8,MATCH(D65,Lists!$H$4:$H$8,0)),""))</f>
        <v/>
      </c>
      <c r="F65" s="25" t="str">
        <f aca="false">IF(D65="","",IFERROR(INDEX(Lists!$J$4:$J$8,MATCH(D65,Lists!$H$4:$H$8,0)),""))</f>
        <v/>
      </c>
      <c r="G65" s="22"/>
      <c r="H65" s="24"/>
      <c r="I65" s="22"/>
      <c r="J65" s="22"/>
      <c r="K65" s="22"/>
    </row>
    <row r="66" customFormat="false" ht="15" hidden="false" customHeight="false" outlineLevel="0" collapsed="false">
      <c r="A66" s="24"/>
      <c r="B66" s="22"/>
      <c r="C66" s="25" t="str">
        <f aca="false">IF(B66="","",IFERROR(INDEX(Employees!$B$5:$B$200,MATCH(B66,Employees!$A$5:$A$200,0)),"ID not found"))</f>
        <v/>
      </c>
      <c r="D66" s="22"/>
      <c r="E66" s="25" t="str">
        <f aca="false">IF(D66="","",IFERROR(INDEX(Lists!$I$4:$I$8,MATCH(D66,Lists!$H$4:$H$8,0)),""))</f>
        <v/>
      </c>
      <c r="F66" s="25" t="str">
        <f aca="false">IF(D66="","",IFERROR(INDEX(Lists!$J$4:$J$8,MATCH(D66,Lists!$H$4:$H$8,0)),""))</f>
        <v/>
      </c>
      <c r="G66" s="22"/>
      <c r="H66" s="24"/>
      <c r="I66" s="22"/>
      <c r="J66" s="22"/>
      <c r="K66" s="22"/>
    </row>
    <row r="67" customFormat="false" ht="15" hidden="false" customHeight="false" outlineLevel="0" collapsed="false">
      <c r="A67" s="24"/>
      <c r="B67" s="22"/>
      <c r="C67" s="25" t="str">
        <f aca="false">IF(B67="","",IFERROR(INDEX(Employees!$B$5:$B$200,MATCH(B67,Employees!$A$5:$A$200,0)),"ID not found"))</f>
        <v/>
      </c>
      <c r="D67" s="22"/>
      <c r="E67" s="25" t="str">
        <f aca="false">IF(D67="","",IFERROR(INDEX(Lists!$I$4:$I$8,MATCH(D67,Lists!$H$4:$H$8,0)),""))</f>
        <v/>
      </c>
      <c r="F67" s="25" t="str">
        <f aca="false">IF(D67="","",IFERROR(INDEX(Lists!$J$4:$J$8,MATCH(D67,Lists!$H$4:$H$8,0)),""))</f>
        <v/>
      </c>
      <c r="G67" s="22"/>
      <c r="H67" s="24"/>
      <c r="I67" s="22"/>
      <c r="J67" s="22"/>
      <c r="K67" s="22"/>
    </row>
    <row r="68" customFormat="false" ht="15" hidden="false" customHeight="false" outlineLevel="0" collapsed="false">
      <c r="A68" s="24"/>
      <c r="B68" s="22"/>
      <c r="C68" s="25" t="str">
        <f aca="false">IF(B68="","",IFERROR(INDEX(Employees!$B$5:$B$200,MATCH(B68,Employees!$A$5:$A$200,0)),"ID not found"))</f>
        <v/>
      </c>
      <c r="D68" s="22"/>
      <c r="E68" s="25" t="str">
        <f aca="false">IF(D68="","",IFERROR(INDEX(Lists!$I$4:$I$8,MATCH(D68,Lists!$H$4:$H$8,0)),""))</f>
        <v/>
      </c>
      <c r="F68" s="25" t="str">
        <f aca="false">IF(D68="","",IFERROR(INDEX(Lists!$J$4:$J$8,MATCH(D68,Lists!$H$4:$H$8,0)),""))</f>
        <v/>
      </c>
      <c r="G68" s="22"/>
      <c r="H68" s="24"/>
      <c r="I68" s="22"/>
      <c r="J68" s="22"/>
      <c r="K68" s="22"/>
    </row>
    <row r="69" customFormat="false" ht="15" hidden="false" customHeight="false" outlineLevel="0" collapsed="false">
      <c r="A69" s="24"/>
      <c r="B69" s="22"/>
      <c r="C69" s="25" t="str">
        <f aca="false">IF(B69="","",IFERROR(INDEX(Employees!$B$5:$B$200,MATCH(B69,Employees!$A$5:$A$200,0)),"ID not found"))</f>
        <v/>
      </c>
      <c r="D69" s="22"/>
      <c r="E69" s="25" t="str">
        <f aca="false">IF(D69="","",IFERROR(INDEX(Lists!$I$4:$I$8,MATCH(D69,Lists!$H$4:$H$8,0)),""))</f>
        <v/>
      </c>
      <c r="F69" s="25" t="str">
        <f aca="false">IF(D69="","",IFERROR(INDEX(Lists!$J$4:$J$8,MATCH(D69,Lists!$H$4:$H$8,0)),""))</f>
        <v/>
      </c>
      <c r="G69" s="22"/>
      <c r="H69" s="24"/>
      <c r="I69" s="22"/>
      <c r="J69" s="22"/>
      <c r="K69" s="22"/>
    </row>
    <row r="70" customFormat="false" ht="15" hidden="false" customHeight="false" outlineLevel="0" collapsed="false">
      <c r="A70" s="24"/>
      <c r="B70" s="22"/>
      <c r="C70" s="25" t="str">
        <f aca="false">IF(B70="","",IFERROR(INDEX(Employees!$B$5:$B$200,MATCH(B70,Employees!$A$5:$A$200,0)),"ID not found"))</f>
        <v/>
      </c>
      <c r="D70" s="22"/>
      <c r="E70" s="25" t="str">
        <f aca="false">IF(D70="","",IFERROR(INDEX(Lists!$I$4:$I$8,MATCH(D70,Lists!$H$4:$H$8,0)),""))</f>
        <v/>
      </c>
      <c r="F70" s="25" t="str">
        <f aca="false">IF(D70="","",IFERROR(INDEX(Lists!$J$4:$J$8,MATCH(D70,Lists!$H$4:$H$8,0)),""))</f>
        <v/>
      </c>
      <c r="G70" s="22"/>
      <c r="H70" s="24"/>
      <c r="I70" s="22"/>
      <c r="J70" s="22"/>
      <c r="K70" s="22"/>
    </row>
    <row r="71" customFormat="false" ht="15" hidden="false" customHeight="false" outlineLevel="0" collapsed="false">
      <c r="A71" s="24"/>
      <c r="B71" s="22"/>
      <c r="C71" s="25" t="str">
        <f aca="false">IF(B71="","",IFERROR(INDEX(Employees!$B$5:$B$200,MATCH(B71,Employees!$A$5:$A$200,0)),"ID not found"))</f>
        <v/>
      </c>
      <c r="D71" s="22"/>
      <c r="E71" s="25" t="str">
        <f aca="false">IF(D71="","",IFERROR(INDEX(Lists!$I$4:$I$8,MATCH(D71,Lists!$H$4:$H$8,0)),""))</f>
        <v/>
      </c>
      <c r="F71" s="25" t="str">
        <f aca="false">IF(D71="","",IFERROR(INDEX(Lists!$J$4:$J$8,MATCH(D71,Lists!$H$4:$H$8,0)),""))</f>
        <v/>
      </c>
      <c r="G71" s="22"/>
      <c r="H71" s="24"/>
      <c r="I71" s="22"/>
      <c r="J71" s="22"/>
      <c r="K71" s="22"/>
    </row>
    <row r="72" customFormat="false" ht="15" hidden="false" customHeight="false" outlineLevel="0" collapsed="false">
      <c r="A72" s="24"/>
      <c r="B72" s="22"/>
      <c r="C72" s="25" t="str">
        <f aca="false">IF(B72="","",IFERROR(INDEX(Employees!$B$5:$B$200,MATCH(B72,Employees!$A$5:$A$200,0)),"ID not found"))</f>
        <v/>
      </c>
      <c r="D72" s="22"/>
      <c r="E72" s="25" t="str">
        <f aca="false">IF(D72="","",IFERROR(INDEX(Lists!$I$4:$I$8,MATCH(D72,Lists!$H$4:$H$8,0)),""))</f>
        <v/>
      </c>
      <c r="F72" s="25" t="str">
        <f aca="false">IF(D72="","",IFERROR(INDEX(Lists!$J$4:$J$8,MATCH(D72,Lists!$H$4:$H$8,0)),""))</f>
        <v/>
      </c>
      <c r="G72" s="22"/>
      <c r="H72" s="24"/>
      <c r="I72" s="22"/>
      <c r="J72" s="22"/>
      <c r="K72" s="22"/>
    </row>
    <row r="73" customFormat="false" ht="15" hidden="false" customHeight="false" outlineLevel="0" collapsed="false">
      <c r="A73" s="24"/>
      <c r="B73" s="22"/>
      <c r="C73" s="25" t="str">
        <f aca="false">IF(B73="","",IFERROR(INDEX(Employees!$B$5:$B$200,MATCH(B73,Employees!$A$5:$A$200,0)),"ID not found"))</f>
        <v/>
      </c>
      <c r="D73" s="22"/>
      <c r="E73" s="25" t="str">
        <f aca="false">IF(D73="","",IFERROR(INDEX(Lists!$I$4:$I$8,MATCH(D73,Lists!$H$4:$H$8,0)),""))</f>
        <v/>
      </c>
      <c r="F73" s="25" t="str">
        <f aca="false">IF(D73="","",IFERROR(INDEX(Lists!$J$4:$J$8,MATCH(D73,Lists!$H$4:$H$8,0)),""))</f>
        <v/>
      </c>
      <c r="G73" s="22"/>
      <c r="H73" s="24"/>
      <c r="I73" s="22"/>
      <c r="J73" s="22"/>
      <c r="K73" s="22"/>
    </row>
    <row r="74" customFormat="false" ht="15" hidden="false" customHeight="false" outlineLevel="0" collapsed="false">
      <c r="A74" s="24"/>
      <c r="B74" s="22"/>
      <c r="C74" s="25" t="str">
        <f aca="false">IF(B74="","",IFERROR(INDEX(Employees!$B$5:$B$200,MATCH(B74,Employees!$A$5:$A$200,0)),"ID not found"))</f>
        <v/>
      </c>
      <c r="D74" s="22"/>
      <c r="E74" s="25" t="str">
        <f aca="false">IF(D74="","",IFERROR(INDEX(Lists!$I$4:$I$8,MATCH(D74,Lists!$H$4:$H$8,0)),""))</f>
        <v/>
      </c>
      <c r="F74" s="25" t="str">
        <f aca="false">IF(D74="","",IFERROR(INDEX(Lists!$J$4:$J$8,MATCH(D74,Lists!$H$4:$H$8,0)),""))</f>
        <v/>
      </c>
      <c r="G74" s="22"/>
      <c r="H74" s="24"/>
      <c r="I74" s="22"/>
      <c r="J74" s="22"/>
      <c r="K74" s="22"/>
    </row>
    <row r="75" customFormat="false" ht="15" hidden="false" customHeight="false" outlineLevel="0" collapsed="false">
      <c r="A75" s="24"/>
      <c r="B75" s="22"/>
      <c r="C75" s="25" t="str">
        <f aca="false">IF(B75="","",IFERROR(INDEX(Employees!$B$5:$B$200,MATCH(B75,Employees!$A$5:$A$200,0)),"ID not found"))</f>
        <v/>
      </c>
      <c r="D75" s="22"/>
      <c r="E75" s="25" t="str">
        <f aca="false">IF(D75="","",IFERROR(INDEX(Lists!$I$4:$I$8,MATCH(D75,Lists!$H$4:$H$8,0)),""))</f>
        <v/>
      </c>
      <c r="F75" s="25" t="str">
        <f aca="false">IF(D75="","",IFERROR(INDEX(Lists!$J$4:$J$8,MATCH(D75,Lists!$H$4:$H$8,0)),""))</f>
        <v/>
      </c>
      <c r="G75" s="22"/>
      <c r="H75" s="24"/>
      <c r="I75" s="22"/>
      <c r="J75" s="22"/>
      <c r="K75" s="22"/>
    </row>
    <row r="76" customFormat="false" ht="15" hidden="false" customHeight="false" outlineLevel="0" collapsed="false">
      <c r="A76" s="24"/>
      <c r="B76" s="22"/>
      <c r="C76" s="25" t="str">
        <f aca="false">IF(B76="","",IFERROR(INDEX(Employees!$B$5:$B$200,MATCH(B76,Employees!$A$5:$A$200,0)),"ID not found"))</f>
        <v/>
      </c>
      <c r="D76" s="22"/>
      <c r="E76" s="25" t="str">
        <f aca="false">IF(D76="","",IFERROR(INDEX(Lists!$I$4:$I$8,MATCH(D76,Lists!$H$4:$H$8,0)),""))</f>
        <v/>
      </c>
      <c r="F76" s="25" t="str">
        <f aca="false">IF(D76="","",IFERROR(INDEX(Lists!$J$4:$J$8,MATCH(D76,Lists!$H$4:$H$8,0)),""))</f>
        <v/>
      </c>
      <c r="G76" s="22"/>
      <c r="H76" s="24"/>
      <c r="I76" s="22"/>
      <c r="J76" s="22"/>
      <c r="K76" s="22"/>
    </row>
    <row r="77" customFormat="false" ht="15" hidden="false" customHeight="false" outlineLevel="0" collapsed="false">
      <c r="A77" s="24"/>
      <c r="B77" s="22"/>
      <c r="C77" s="25" t="str">
        <f aca="false">IF(B77="","",IFERROR(INDEX(Employees!$B$5:$B$200,MATCH(B77,Employees!$A$5:$A$200,0)),"ID not found"))</f>
        <v/>
      </c>
      <c r="D77" s="22"/>
      <c r="E77" s="25" t="str">
        <f aca="false">IF(D77="","",IFERROR(INDEX(Lists!$I$4:$I$8,MATCH(D77,Lists!$H$4:$H$8,0)),""))</f>
        <v/>
      </c>
      <c r="F77" s="25" t="str">
        <f aca="false">IF(D77="","",IFERROR(INDEX(Lists!$J$4:$J$8,MATCH(D77,Lists!$H$4:$H$8,0)),""))</f>
        <v/>
      </c>
      <c r="G77" s="22"/>
      <c r="H77" s="24"/>
      <c r="I77" s="22"/>
      <c r="J77" s="22"/>
      <c r="K77" s="22"/>
    </row>
    <row r="78" customFormat="false" ht="15" hidden="false" customHeight="false" outlineLevel="0" collapsed="false">
      <c r="A78" s="24"/>
      <c r="B78" s="22"/>
      <c r="C78" s="25" t="str">
        <f aca="false">IF(B78="","",IFERROR(INDEX(Employees!$B$5:$B$200,MATCH(B78,Employees!$A$5:$A$200,0)),"ID not found"))</f>
        <v/>
      </c>
      <c r="D78" s="22"/>
      <c r="E78" s="25" t="str">
        <f aca="false">IF(D78="","",IFERROR(INDEX(Lists!$I$4:$I$8,MATCH(D78,Lists!$H$4:$H$8,0)),""))</f>
        <v/>
      </c>
      <c r="F78" s="25" t="str">
        <f aca="false">IF(D78="","",IFERROR(INDEX(Lists!$J$4:$J$8,MATCH(D78,Lists!$H$4:$H$8,0)),""))</f>
        <v/>
      </c>
      <c r="G78" s="22"/>
      <c r="H78" s="24"/>
      <c r="I78" s="22"/>
      <c r="J78" s="22"/>
      <c r="K78" s="22"/>
    </row>
    <row r="79" customFormat="false" ht="15" hidden="false" customHeight="false" outlineLevel="0" collapsed="false">
      <c r="A79" s="24"/>
      <c r="B79" s="22"/>
      <c r="C79" s="25" t="str">
        <f aca="false">IF(B79="","",IFERROR(INDEX(Employees!$B$5:$B$200,MATCH(B79,Employees!$A$5:$A$200,0)),"ID not found"))</f>
        <v/>
      </c>
      <c r="D79" s="22"/>
      <c r="E79" s="25" t="str">
        <f aca="false">IF(D79="","",IFERROR(INDEX(Lists!$I$4:$I$8,MATCH(D79,Lists!$H$4:$H$8,0)),""))</f>
        <v/>
      </c>
      <c r="F79" s="25" t="str">
        <f aca="false">IF(D79="","",IFERROR(INDEX(Lists!$J$4:$J$8,MATCH(D79,Lists!$H$4:$H$8,0)),""))</f>
        <v/>
      </c>
      <c r="G79" s="22"/>
      <c r="H79" s="24"/>
      <c r="I79" s="22"/>
      <c r="J79" s="22"/>
      <c r="K79" s="22"/>
    </row>
    <row r="80" customFormat="false" ht="15" hidden="false" customHeight="false" outlineLevel="0" collapsed="false">
      <c r="A80" s="24"/>
      <c r="B80" s="22"/>
      <c r="C80" s="25" t="str">
        <f aca="false">IF(B80="","",IFERROR(INDEX(Employees!$B$5:$B$200,MATCH(B80,Employees!$A$5:$A$200,0)),"ID not found"))</f>
        <v/>
      </c>
      <c r="D80" s="22"/>
      <c r="E80" s="25" t="str">
        <f aca="false">IF(D80="","",IFERROR(INDEX(Lists!$I$4:$I$8,MATCH(D80,Lists!$H$4:$H$8,0)),""))</f>
        <v/>
      </c>
      <c r="F80" s="25" t="str">
        <f aca="false">IF(D80="","",IFERROR(INDEX(Lists!$J$4:$J$8,MATCH(D80,Lists!$H$4:$H$8,0)),""))</f>
        <v/>
      </c>
      <c r="G80" s="22"/>
      <c r="H80" s="24"/>
      <c r="I80" s="22"/>
      <c r="J80" s="22"/>
      <c r="K80" s="22"/>
    </row>
    <row r="81" customFormat="false" ht="15" hidden="false" customHeight="false" outlineLevel="0" collapsed="false">
      <c r="A81" s="24"/>
      <c r="B81" s="22"/>
      <c r="C81" s="25" t="str">
        <f aca="false">IF(B81="","",IFERROR(INDEX(Employees!$B$5:$B$200,MATCH(B81,Employees!$A$5:$A$200,0)),"ID not found"))</f>
        <v/>
      </c>
      <c r="D81" s="22"/>
      <c r="E81" s="25" t="str">
        <f aca="false">IF(D81="","",IFERROR(INDEX(Lists!$I$4:$I$8,MATCH(D81,Lists!$H$4:$H$8,0)),""))</f>
        <v/>
      </c>
      <c r="F81" s="25" t="str">
        <f aca="false">IF(D81="","",IFERROR(INDEX(Lists!$J$4:$J$8,MATCH(D81,Lists!$H$4:$H$8,0)),""))</f>
        <v/>
      </c>
      <c r="G81" s="22"/>
      <c r="H81" s="24"/>
      <c r="I81" s="22"/>
      <c r="J81" s="22"/>
      <c r="K81" s="22"/>
    </row>
    <row r="82" customFormat="false" ht="15" hidden="false" customHeight="false" outlineLevel="0" collapsed="false">
      <c r="A82" s="24"/>
      <c r="B82" s="22"/>
      <c r="C82" s="25" t="str">
        <f aca="false">IF(B82="","",IFERROR(INDEX(Employees!$B$5:$B$200,MATCH(B82,Employees!$A$5:$A$200,0)),"ID not found"))</f>
        <v/>
      </c>
      <c r="D82" s="22"/>
      <c r="E82" s="25" t="str">
        <f aca="false">IF(D82="","",IFERROR(INDEX(Lists!$I$4:$I$8,MATCH(D82,Lists!$H$4:$H$8,0)),""))</f>
        <v/>
      </c>
      <c r="F82" s="25" t="str">
        <f aca="false">IF(D82="","",IFERROR(INDEX(Lists!$J$4:$J$8,MATCH(D82,Lists!$H$4:$H$8,0)),""))</f>
        <v/>
      </c>
      <c r="G82" s="22"/>
      <c r="H82" s="24"/>
      <c r="I82" s="22"/>
      <c r="J82" s="22"/>
      <c r="K82" s="22"/>
    </row>
    <row r="83" customFormat="false" ht="15" hidden="false" customHeight="false" outlineLevel="0" collapsed="false">
      <c r="A83" s="24"/>
      <c r="B83" s="22"/>
      <c r="C83" s="25" t="str">
        <f aca="false">IF(B83="","",IFERROR(INDEX(Employees!$B$5:$B$200,MATCH(B83,Employees!$A$5:$A$200,0)),"ID not found"))</f>
        <v/>
      </c>
      <c r="D83" s="22"/>
      <c r="E83" s="25" t="str">
        <f aca="false">IF(D83="","",IFERROR(INDEX(Lists!$I$4:$I$8,MATCH(D83,Lists!$H$4:$H$8,0)),""))</f>
        <v/>
      </c>
      <c r="F83" s="25" t="str">
        <f aca="false">IF(D83="","",IFERROR(INDEX(Lists!$J$4:$J$8,MATCH(D83,Lists!$H$4:$H$8,0)),""))</f>
        <v/>
      </c>
      <c r="G83" s="22"/>
      <c r="H83" s="24"/>
      <c r="I83" s="22"/>
      <c r="J83" s="22"/>
      <c r="K83" s="22"/>
    </row>
    <row r="84" customFormat="false" ht="15" hidden="false" customHeight="false" outlineLevel="0" collapsed="false">
      <c r="A84" s="24"/>
      <c r="B84" s="22"/>
      <c r="C84" s="25" t="str">
        <f aca="false">IF(B84="","",IFERROR(INDEX(Employees!$B$5:$B$200,MATCH(B84,Employees!$A$5:$A$200,0)),"ID not found"))</f>
        <v/>
      </c>
      <c r="D84" s="22"/>
      <c r="E84" s="25" t="str">
        <f aca="false">IF(D84="","",IFERROR(INDEX(Lists!$I$4:$I$8,MATCH(D84,Lists!$H$4:$H$8,0)),""))</f>
        <v/>
      </c>
      <c r="F84" s="25" t="str">
        <f aca="false">IF(D84="","",IFERROR(INDEX(Lists!$J$4:$J$8,MATCH(D84,Lists!$H$4:$H$8,0)),""))</f>
        <v/>
      </c>
      <c r="G84" s="22"/>
      <c r="H84" s="24"/>
      <c r="I84" s="22"/>
      <c r="J84" s="22"/>
      <c r="K84" s="22"/>
    </row>
    <row r="85" customFormat="false" ht="15" hidden="false" customHeight="false" outlineLevel="0" collapsed="false">
      <c r="A85" s="24"/>
      <c r="B85" s="22"/>
      <c r="C85" s="25" t="str">
        <f aca="false">IF(B85="","",IFERROR(INDEX(Employees!$B$5:$B$200,MATCH(B85,Employees!$A$5:$A$200,0)),"ID not found"))</f>
        <v/>
      </c>
      <c r="D85" s="22"/>
      <c r="E85" s="25" t="str">
        <f aca="false">IF(D85="","",IFERROR(INDEX(Lists!$I$4:$I$8,MATCH(D85,Lists!$H$4:$H$8,0)),""))</f>
        <v/>
      </c>
      <c r="F85" s="25" t="str">
        <f aca="false">IF(D85="","",IFERROR(INDEX(Lists!$J$4:$J$8,MATCH(D85,Lists!$H$4:$H$8,0)),""))</f>
        <v/>
      </c>
      <c r="G85" s="22"/>
      <c r="H85" s="24"/>
      <c r="I85" s="22"/>
      <c r="J85" s="22"/>
      <c r="K85" s="22"/>
    </row>
    <row r="86" customFormat="false" ht="15" hidden="false" customHeight="false" outlineLevel="0" collapsed="false">
      <c r="A86" s="24"/>
      <c r="B86" s="22"/>
      <c r="C86" s="25" t="str">
        <f aca="false">IF(B86="","",IFERROR(INDEX(Employees!$B$5:$B$200,MATCH(B86,Employees!$A$5:$A$200,0)),"ID not found"))</f>
        <v/>
      </c>
      <c r="D86" s="22"/>
      <c r="E86" s="25" t="str">
        <f aca="false">IF(D86="","",IFERROR(INDEX(Lists!$I$4:$I$8,MATCH(D86,Lists!$H$4:$H$8,0)),""))</f>
        <v/>
      </c>
      <c r="F86" s="25" t="str">
        <f aca="false">IF(D86="","",IFERROR(INDEX(Lists!$J$4:$J$8,MATCH(D86,Lists!$H$4:$H$8,0)),""))</f>
        <v/>
      </c>
      <c r="G86" s="22"/>
      <c r="H86" s="24"/>
      <c r="I86" s="22"/>
      <c r="J86" s="22"/>
      <c r="K86" s="22"/>
    </row>
    <row r="87" customFormat="false" ht="15" hidden="false" customHeight="false" outlineLevel="0" collapsed="false">
      <c r="A87" s="24"/>
      <c r="B87" s="22"/>
      <c r="C87" s="25" t="str">
        <f aca="false">IF(B87="","",IFERROR(INDEX(Employees!$B$5:$B$200,MATCH(B87,Employees!$A$5:$A$200,0)),"ID not found"))</f>
        <v/>
      </c>
      <c r="D87" s="22"/>
      <c r="E87" s="25" t="str">
        <f aca="false">IF(D87="","",IFERROR(INDEX(Lists!$I$4:$I$8,MATCH(D87,Lists!$H$4:$H$8,0)),""))</f>
        <v/>
      </c>
      <c r="F87" s="25" t="str">
        <f aca="false">IF(D87="","",IFERROR(INDEX(Lists!$J$4:$J$8,MATCH(D87,Lists!$H$4:$H$8,0)),""))</f>
        <v/>
      </c>
      <c r="G87" s="22"/>
      <c r="H87" s="24"/>
      <c r="I87" s="22"/>
      <c r="J87" s="22"/>
      <c r="K87" s="22"/>
    </row>
    <row r="88" customFormat="false" ht="15" hidden="false" customHeight="false" outlineLevel="0" collapsed="false">
      <c r="A88" s="24"/>
      <c r="B88" s="22"/>
      <c r="C88" s="25" t="str">
        <f aca="false">IF(B88="","",IFERROR(INDEX(Employees!$B$5:$B$200,MATCH(B88,Employees!$A$5:$A$200,0)),"ID not found"))</f>
        <v/>
      </c>
      <c r="D88" s="22"/>
      <c r="E88" s="25" t="str">
        <f aca="false">IF(D88="","",IFERROR(INDEX(Lists!$I$4:$I$8,MATCH(D88,Lists!$H$4:$H$8,0)),""))</f>
        <v/>
      </c>
      <c r="F88" s="25" t="str">
        <f aca="false">IF(D88="","",IFERROR(INDEX(Lists!$J$4:$J$8,MATCH(D88,Lists!$H$4:$H$8,0)),""))</f>
        <v/>
      </c>
      <c r="G88" s="22"/>
      <c r="H88" s="24"/>
      <c r="I88" s="22"/>
      <c r="J88" s="22"/>
      <c r="K88" s="22"/>
    </row>
    <row r="89" customFormat="false" ht="15" hidden="false" customHeight="false" outlineLevel="0" collapsed="false">
      <c r="A89" s="24"/>
      <c r="B89" s="22"/>
      <c r="C89" s="25" t="str">
        <f aca="false">IF(B89="","",IFERROR(INDEX(Employees!$B$5:$B$200,MATCH(B89,Employees!$A$5:$A$200,0)),"ID not found"))</f>
        <v/>
      </c>
      <c r="D89" s="22"/>
      <c r="E89" s="25" t="str">
        <f aca="false">IF(D89="","",IFERROR(INDEX(Lists!$I$4:$I$8,MATCH(D89,Lists!$H$4:$H$8,0)),""))</f>
        <v/>
      </c>
      <c r="F89" s="25" t="str">
        <f aca="false">IF(D89="","",IFERROR(INDEX(Lists!$J$4:$J$8,MATCH(D89,Lists!$H$4:$H$8,0)),""))</f>
        <v/>
      </c>
      <c r="G89" s="22"/>
      <c r="H89" s="24"/>
      <c r="I89" s="22"/>
      <c r="J89" s="22"/>
      <c r="K89" s="22"/>
    </row>
    <row r="90" customFormat="false" ht="15" hidden="false" customHeight="false" outlineLevel="0" collapsed="false">
      <c r="A90" s="24"/>
      <c r="B90" s="22"/>
      <c r="C90" s="25" t="str">
        <f aca="false">IF(B90="","",IFERROR(INDEX(Employees!$B$5:$B$200,MATCH(B90,Employees!$A$5:$A$200,0)),"ID not found"))</f>
        <v/>
      </c>
      <c r="D90" s="22"/>
      <c r="E90" s="25" t="str">
        <f aca="false">IF(D90="","",IFERROR(INDEX(Lists!$I$4:$I$8,MATCH(D90,Lists!$H$4:$H$8,0)),""))</f>
        <v/>
      </c>
      <c r="F90" s="25" t="str">
        <f aca="false">IF(D90="","",IFERROR(INDEX(Lists!$J$4:$J$8,MATCH(D90,Lists!$H$4:$H$8,0)),""))</f>
        <v/>
      </c>
      <c r="G90" s="22"/>
      <c r="H90" s="24"/>
      <c r="I90" s="22"/>
      <c r="J90" s="22"/>
      <c r="K90" s="22"/>
    </row>
    <row r="91" customFormat="false" ht="15" hidden="false" customHeight="false" outlineLevel="0" collapsed="false">
      <c r="A91" s="24"/>
      <c r="B91" s="22"/>
      <c r="C91" s="25" t="str">
        <f aca="false">IF(B91="","",IFERROR(INDEX(Employees!$B$5:$B$200,MATCH(B91,Employees!$A$5:$A$200,0)),"ID not found"))</f>
        <v/>
      </c>
      <c r="D91" s="22"/>
      <c r="E91" s="25" t="str">
        <f aca="false">IF(D91="","",IFERROR(INDEX(Lists!$I$4:$I$8,MATCH(D91,Lists!$H$4:$H$8,0)),""))</f>
        <v/>
      </c>
      <c r="F91" s="25" t="str">
        <f aca="false">IF(D91="","",IFERROR(INDEX(Lists!$J$4:$J$8,MATCH(D91,Lists!$H$4:$H$8,0)),""))</f>
        <v/>
      </c>
      <c r="G91" s="22"/>
      <c r="H91" s="24"/>
      <c r="I91" s="22"/>
      <c r="J91" s="22"/>
      <c r="K91" s="22"/>
    </row>
    <row r="92" customFormat="false" ht="15" hidden="false" customHeight="false" outlineLevel="0" collapsed="false">
      <c r="A92" s="24"/>
      <c r="B92" s="22"/>
      <c r="C92" s="25" t="str">
        <f aca="false">IF(B92="","",IFERROR(INDEX(Employees!$B$5:$B$200,MATCH(B92,Employees!$A$5:$A$200,0)),"ID not found"))</f>
        <v/>
      </c>
      <c r="D92" s="22"/>
      <c r="E92" s="25" t="str">
        <f aca="false">IF(D92="","",IFERROR(INDEX(Lists!$I$4:$I$8,MATCH(D92,Lists!$H$4:$H$8,0)),""))</f>
        <v/>
      </c>
      <c r="F92" s="25" t="str">
        <f aca="false">IF(D92="","",IFERROR(INDEX(Lists!$J$4:$J$8,MATCH(D92,Lists!$H$4:$H$8,0)),""))</f>
        <v/>
      </c>
      <c r="G92" s="22"/>
      <c r="H92" s="24"/>
      <c r="I92" s="22"/>
      <c r="J92" s="22"/>
      <c r="K92" s="22"/>
    </row>
    <row r="93" customFormat="false" ht="15" hidden="false" customHeight="false" outlineLevel="0" collapsed="false">
      <c r="A93" s="24"/>
      <c r="B93" s="22"/>
      <c r="C93" s="25" t="str">
        <f aca="false">IF(B93="","",IFERROR(INDEX(Employees!$B$5:$B$200,MATCH(B93,Employees!$A$5:$A$200,0)),"ID not found"))</f>
        <v/>
      </c>
      <c r="D93" s="22"/>
      <c r="E93" s="25" t="str">
        <f aca="false">IF(D93="","",IFERROR(INDEX(Lists!$I$4:$I$8,MATCH(D93,Lists!$H$4:$H$8,0)),""))</f>
        <v/>
      </c>
      <c r="F93" s="25" t="str">
        <f aca="false">IF(D93="","",IFERROR(INDEX(Lists!$J$4:$J$8,MATCH(D93,Lists!$H$4:$H$8,0)),""))</f>
        <v/>
      </c>
      <c r="G93" s="22"/>
      <c r="H93" s="24"/>
      <c r="I93" s="22"/>
      <c r="J93" s="22"/>
      <c r="K93" s="22"/>
    </row>
    <row r="94" customFormat="false" ht="15" hidden="false" customHeight="false" outlineLevel="0" collapsed="false">
      <c r="A94" s="24"/>
      <c r="B94" s="22"/>
      <c r="C94" s="25" t="str">
        <f aca="false">IF(B94="","",IFERROR(INDEX(Employees!$B$5:$B$200,MATCH(B94,Employees!$A$5:$A$200,0)),"ID not found"))</f>
        <v/>
      </c>
      <c r="D94" s="22"/>
      <c r="E94" s="25" t="str">
        <f aca="false">IF(D94="","",IFERROR(INDEX(Lists!$I$4:$I$8,MATCH(D94,Lists!$H$4:$H$8,0)),""))</f>
        <v/>
      </c>
      <c r="F94" s="25" t="str">
        <f aca="false">IF(D94="","",IFERROR(INDEX(Lists!$J$4:$J$8,MATCH(D94,Lists!$H$4:$H$8,0)),""))</f>
        <v/>
      </c>
      <c r="G94" s="22"/>
      <c r="H94" s="24"/>
      <c r="I94" s="22"/>
      <c r="J94" s="22"/>
      <c r="K94" s="22"/>
    </row>
    <row r="95" customFormat="false" ht="15" hidden="false" customHeight="false" outlineLevel="0" collapsed="false">
      <c r="A95" s="24"/>
      <c r="B95" s="22"/>
      <c r="C95" s="25" t="str">
        <f aca="false">IF(B95="","",IFERROR(INDEX(Employees!$B$5:$B$200,MATCH(B95,Employees!$A$5:$A$200,0)),"ID not found"))</f>
        <v/>
      </c>
      <c r="D95" s="22"/>
      <c r="E95" s="25" t="str">
        <f aca="false">IF(D95="","",IFERROR(INDEX(Lists!$I$4:$I$8,MATCH(D95,Lists!$H$4:$H$8,0)),""))</f>
        <v/>
      </c>
      <c r="F95" s="25" t="str">
        <f aca="false">IF(D95="","",IFERROR(INDEX(Lists!$J$4:$J$8,MATCH(D95,Lists!$H$4:$H$8,0)),""))</f>
        <v/>
      </c>
      <c r="G95" s="22"/>
      <c r="H95" s="24"/>
      <c r="I95" s="22"/>
      <c r="J95" s="22"/>
      <c r="K95" s="22"/>
    </row>
    <row r="96" customFormat="false" ht="15" hidden="false" customHeight="false" outlineLevel="0" collapsed="false">
      <c r="A96" s="24"/>
      <c r="B96" s="22"/>
      <c r="C96" s="25" t="str">
        <f aca="false">IF(B96="","",IFERROR(INDEX(Employees!$B$5:$B$200,MATCH(B96,Employees!$A$5:$A$200,0)),"ID not found"))</f>
        <v/>
      </c>
      <c r="D96" s="22"/>
      <c r="E96" s="25" t="str">
        <f aca="false">IF(D96="","",IFERROR(INDEX(Lists!$I$4:$I$8,MATCH(D96,Lists!$H$4:$H$8,0)),""))</f>
        <v/>
      </c>
      <c r="F96" s="25" t="str">
        <f aca="false">IF(D96="","",IFERROR(INDEX(Lists!$J$4:$J$8,MATCH(D96,Lists!$H$4:$H$8,0)),""))</f>
        <v/>
      </c>
      <c r="G96" s="22"/>
      <c r="H96" s="24"/>
      <c r="I96" s="22"/>
      <c r="J96" s="22"/>
      <c r="K96" s="22"/>
    </row>
    <row r="97" customFormat="false" ht="15" hidden="false" customHeight="false" outlineLevel="0" collapsed="false">
      <c r="A97" s="24"/>
      <c r="B97" s="22"/>
      <c r="C97" s="25" t="str">
        <f aca="false">IF(B97="","",IFERROR(INDEX(Employees!$B$5:$B$200,MATCH(B97,Employees!$A$5:$A$200,0)),"ID not found"))</f>
        <v/>
      </c>
      <c r="D97" s="22"/>
      <c r="E97" s="25" t="str">
        <f aca="false">IF(D97="","",IFERROR(INDEX(Lists!$I$4:$I$8,MATCH(D97,Lists!$H$4:$H$8,0)),""))</f>
        <v/>
      </c>
      <c r="F97" s="25" t="str">
        <f aca="false">IF(D97="","",IFERROR(INDEX(Lists!$J$4:$J$8,MATCH(D97,Lists!$H$4:$H$8,0)),""))</f>
        <v/>
      </c>
      <c r="G97" s="22"/>
      <c r="H97" s="24"/>
      <c r="I97" s="22"/>
      <c r="J97" s="22"/>
      <c r="K97" s="22"/>
    </row>
    <row r="98" customFormat="false" ht="15" hidden="false" customHeight="false" outlineLevel="0" collapsed="false">
      <c r="A98" s="24"/>
      <c r="B98" s="22"/>
      <c r="C98" s="25" t="str">
        <f aca="false">IF(B98="","",IFERROR(INDEX(Employees!$B$5:$B$200,MATCH(B98,Employees!$A$5:$A$200,0)),"ID not found"))</f>
        <v/>
      </c>
      <c r="D98" s="22"/>
      <c r="E98" s="25" t="str">
        <f aca="false">IF(D98="","",IFERROR(INDEX(Lists!$I$4:$I$8,MATCH(D98,Lists!$H$4:$H$8,0)),""))</f>
        <v/>
      </c>
      <c r="F98" s="25" t="str">
        <f aca="false">IF(D98="","",IFERROR(INDEX(Lists!$J$4:$J$8,MATCH(D98,Lists!$H$4:$H$8,0)),""))</f>
        <v/>
      </c>
      <c r="G98" s="22"/>
      <c r="H98" s="24"/>
      <c r="I98" s="22"/>
      <c r="J98" s="22"/>
      <c r="K98" s="22"/>
    </row>
    <row r="99" customFormat="false" ht="15" hidden="false" customHeight="false" outlineLevel="0" collapsed="false">
      <c r="A99" s="24"/>
      <c r="B99" s="22"/>
      <c r="C99" s="25" t="str">
        <f aca="false">IF(B99="","",IFERROR(INDEX(Employees!$B$5:$B$200,MATCH(B99,Employees!$A$5:$A$200,0)),"ID not found"))</f>
        <v/>
      </c>
      <c r="D99" s="22"/>
      <c r="E99" s="25" t="str">
        <f aca="false">IF(D99="","",IFERROR(INDEX(Lists!$I$4:$I$8,MATCH(D99,Lists!$H$4:$H$8,0)),""))</f>
        <v/>
      </c>
      <c r="F99" s="25" t="str">
        <f aca="false">IF(D99="","",IFERROR(INDEX(Lists!$J$4:$J$8,MATCH(D99,Lists!$H$4:$H$8,0)),""))</f>
        <v/>
      </c>
      <c r="G99" s="22"/>
      <c r="H99" s="24"/>
      <c r="I99" s="22"/>
      <c r="J99" s="22"/>
      <c r="K99" s="22"/>
    </row>
    <row r="100" customFormat="false" ht="15" hidden="false" customHeight="false" outlineLevel="0" collapsed="false">
      <c r="A100" s="24"/>
      <c r="B100" s="22"/>
      <c r="C100" s="25" t="str">
        <f aca="false">IF(B100="","",IFERROR(INDEX(Employees!$B$5:$B$200,MATCH(B100,Employees!$A$5:$A$200,0)),"ID not found"))</f>
        <v/>
      </c>
      <c r="D100" s="22"/>
      <c r="E100" s="25" t="str">
        <f aca="false">IF(D100="","",IFERROR(INDEX(Lists!$I$4:$I$8,MATCH(D100,Lists!$H$4:$H$8,0)),""))</f>
        <v/>
      </c>
      <c r="F100" s="25" t="str">
        <f aca="false">IF(D100="","",IFERROR(INDEX(Lists!$J$4:$J$8,MATCH(D100,Lists!$H$4:$H$8,0)),""))</f>
        <v/>
      </c>
      <c r="G100" s="22"/>
      <c r="H100" s="24"/>
      <c r="I100" s="22"/>
      <c r="J100" s="22"/>
      <c r="K100" s="22"/>
    </row>
    <row r="101" customFormat="false" ht="15" hidden="false" customHeight="false" outlineLevel="0" collapsed="false">
      <c r="A101" s="24"/>
      <c r="B101" s="22"/>
      <c r="C101" s="25" t="str">
        <f aca="false">IF(B101="","",IFERROR(INDEX(Employees!$B$5:$B$200,MATCH(B101,Employees!$A$5:$A$200,0)),"ID not found"))</f>
        <v/>
      </c>
      <c r="D101" s="22"/>
      <c r="E101" s="25" t="str">
        <f aca="false">IF(D101="","",IFERROR(INDEX(Lists!$I$4:$I$8,MATCH(D101,Lists!$H$4:$H$8,0)),""))</f>
        <v/>
      </c>
      <c r="F101" s="25" t="str">
        <f aca="false">IF(D101="","",IFERROR(INDEX(Lists!$J$4:$J$8,MATCH(D101,Lists!$H$4:$H$8,0)),""))</f>
        <v/>
      </c>
      <c r="G101" s="22"/>
      <c r="H101" s="24"/>
      <c r="I101" s="22"/>
      <c r="J101" s="22"/>
      <c r="K101" s="22"/>
    </row>
    <row r="102" customFormat="false" ht="15" hidden="false" customHeight="false" outlineLevel="0" collapsed="false">
      <c r="A102" s="24"/>
      <c r="B102" s="22"/>
      <c r="C102" s="25" t="str">
        <f aca="false">IF(B102="","",IFERROR(INDEX(Employees!$B$5:$B$200,MATCH(B102,Employees!$A$5:$A$200,0)),"ID not found"))</f>
        <v/>
      </c>
      <c r="D102" s="22"/>
      <c r="E102" s="25" t="str">
        <f aca="false">IF(D102="","",IFERROR(INDEX(Lists!$I$4:$I$8,MATCH(D102,Lists!$H$4:$H$8,0)),""))</f>
        <v/>
      </c>
      <c r="F102" s="25" t="str">
        <f aca="false">IF(D102="","",IFERROR(INDEX(Lists!$J$4:$J$8,MATCH(D102,Lists!$H$4:$H$8,0)),""))</f>
        <v/>
      </c>
      <c r="G102" s="22"/>
      <c r="H102" s="24"/>
      <c r="I102" s="22"/>
      <c r="J102" s="22"/>
      <c r="K102" s="22"/>
    </row>
    <row r="103" customFormat="false" ht="15" hidden="false" customHeight="false" outlineLevel="0" collapsed="false">
      <c r="A103" s="24"/>
      <c r="B103" s="22"/>
      <c r="C103" s="25" t="str">
        <f aca="false">IF(B103="","",IFERROR(INDEX(Employees!$B$5:$B$200,MATCH(B103,Employees!$A$5:$A$200,0)),"ID not found"))</f>
        <v/>
      </c>
      <c r="D103" s="22"/>
      <c r="E103" s="25" t="str">
        <f aca="false">IF(D103="","",IFERROR(INDEX(Lists!$I$4:$I$8,MATCH(D103,Lists!$H$4:$H$8,0)),""))</f>
        <v/>
      </c>
      <c r="F103" s="25" t="str">
        <f aca="false">IF(D103="","",IFERROR(INDEX(Lists!$J$4:$J$8,MATCH(D103,Lists!$H$4:$H$8,0)),""))</f>
        <v/>
      </c>
      <c r="G103" s="22"/>
      <c r="H103" s="24"/>
      <c r="I103" s="22"/>
      <c r="J103" s="22"/>
      <c r="K103" s="22"/>
    </row>
    <row r="104" customFormat="false" ht="15" hidden="false" customHeight="false" outlineLevel="0" collapsed="false">
      <c r="A104" s="24"/>
      <c r="B104" s="22"/>
      <c r="C104" s="25" t="str">
        <f aca="false">IF(B104="","",IFERROR(INDEX(Employees!$B$5:$B$200,MATCH(B104,Employees!$A$5:$A$200,0)),"ID not found"))</f>
        <v/>
      </c>
      <c r="D104" s="22"/>
      <c r="E104" s="25" t="str">
        <f aca="false">IF(D104="","",IFERROR(INDEX(Lists!$I$4:$I$8,MATCH(D104,Lists!$H$4:$H$8,0)),""))</f>
        <v/>
      </c>
      <c r="F104" s="25" t="str">
        <f aca="false">IF(D104="","",IFERROR(INDEX(Lists!$J$4:$J$8,MATCH(D104,Lists!$H$4:$H$8,0)),""))</f>
        <v/>
      </c>
      <c r="G104" s="22"/>
      <c r="H104" s="24"/>
      <c r="I104" s="22"/>
      <c r="J104" s="22"/>
      <c r="K104" s="22"/>
    </row>
  </sheetData>
  <conditionalFormatting sqref="G5:G104">
    <cfRule type="expression" priority="2" aboveAverage="0" equalAverage="0" bottom="0" percent="0" rank="0" text="" dxfId="14">
      <formula>ISNUMBER(SEARCH("No",G5))</formula>
    </cfRule>
  </conditionalFormatting>
  <dataValidations count="5">
    <dataValidation allowBlank="true" error="Enter a valid date" errorStyle="stop" operator="greaterThan" showDropDown="false" showErrorMessage="true" showInputMessage="false" sqref="A5:A104 H5:H104" type="date">
      <formula1>43831</formula1>
      <formula2>0</formula2>
    </dataValidation>
    <dataValidation allowBlank="true" errorStyle="stop" operator="between" showDropDown="false" showErrorMessage="true" showInputMessage="false" sqref="B5:B104" type="list">
      <formula1>Employees!$A$5:$A$200</formula1>
      <formula2>0</formula2>
    </dataValidation>
    <dataValidation allowBlank="true" errorStyle="stop" operator="between" showDropDown="false" showErrorMessage="true" showInputMessage="false" sqref="D5:D104" type="list">
      <formula1>Lists!$H$4:$H$8</formula1>
      <formula2>0</formula2>
    </dataValidation>
    <dataValidation allowBlank="true" errorStyle="stop" operator="between" showDropDown="false" showErrorMessage="true" showInputMessage="false" sqref="G5:G104" type="list">
      <formula1>"Yes,No"</formula1>
      <formula2>0</formula2>
    </dataValidation>
    <dataValidation allowBlank="true" errorStyle="stop" operator="between" showDropDown="false" showErrorMessage="true" showInputMessage="false" sqref="I5:I104" type="list">
      <formula1>Lists!$P$4:$P$7</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I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6" min="6" style="0" width="22"/>
    <col collapsed="false" customWidth="true" hidden="false" outlineLevel="0" max="7" min="7" style="0" width="16"/>
    <col collapsed="false" customWidth="true" hidden="false" outlineLevel="0" max="8" min="8" style="0" width="52"/>
    <col collapsed="false" customWidth="true" hidden="false" outlineLevel="0" max="9" min="9" style="0" width="46"/>
  </cols>
  <sheetData>
    <row r="1" customFormat="false" ht="19.7" hidden="false" customHeight="false" outlineLevel="0" collapsed="false">
      <c r="A1" s="1" t="s">
        <v>202</v>
      </c>
    </row>
    <row r="2" customFormat="false" ht="15" hidden="false" customHeight="false" outlineLevel="0" collapsed="false">
      <c r="A2" s="2" t="s">
        <v>203</v>
      </c>
    </row>
    <row r="4" customFormat="false" ht="31.5" hidden="false" customHeight="true" outlineLevel="0" collapsed="false">
      <c r="A4" s="11" t="s">
        <v>204</v>
      </c>
      <c r="B4" s="11" t="s">
        <v>78</v>
      </c>
      <c r="C4" s="11" t="s">
        <v>55</v>
      </c>
      <c r="D4" s="11" t="s">
        <v>205</v>
      </c>
      <c r="E4" s="11" t="s">
        <v>206</v>
      </c>
      <c r="F4" s="11" t="s">
        <v>207</v>
      </c>
      <c r="G4" s="11" t="s">
        <v>208</v>
      </c>
      <c r="H4" s="11" t="s">
        <v>209</v>
      </c>
      <c r="I4" s="11" t="s">
        <v>173</v>
      </c>
    </row>
    <row r="5" customFormat="false" ht="15" hidden="false" customHeight="false" outlineLevel="0" collapsed="false">
      <c r="A5" s="24" t="n">
        <v>46286</v>
      </c>
      <c r="B5" s="22" t="s">
        <v>91</v>
      </c>
      <c r="C5" s="25" t="str">
        <f aca="false">IF(B5="","",IFERROR(INDEX(Request_Tracker!$B$6:$B$205,MATCH(B5,Request_Tracker!$A$6:$A$205,0)),"Req ID not found"))</f>
        <v>Salary Certificate</v>
      </c>
      <c r="D5" s="22" t="s">
        <v>100</v>
      </c>
      <c r="E5" s="22" t="s">
        <v>210</v>
      </c>
      <c r="F5" s="22"/>
      <c r="G5" s="22"/>
      <c r="H5" s="23" t="str">
        <f aca="false">IF(E5&lt;&gt;"Fail","",IF(F5="Wrong recipient","ESCALATE: possible personal data breach - notify Team Lead / DPO immediately",IF(G5="No","Escalate to Team Lead - error not corrected","Logged - corrected before release")))</f>
        <v/>
      </c>
      <c r="I5" s="22"/>
    </row>
    <row r="6" customFormat="false" ht="15" hidden="false" customHeight="false" outlineLevel="0" collapsed="false">
      <c r="A6" s="24" t="n">
        <v>46287</v>
      </c>
      <c r="B6" s="22" t="s">
        <v>97</v>
      </c>
      <c r="C6" s="25" t="str">
        <f aca="false">IF(B6="","",IFERROR(INDEX(Request_Tracker!$B$6:$B$205,MATCH(B6,Request_Tracker!$A$6:$A$205,0)),"Req ID not found"))</f>
        <v>Reference Letter</v>
      </c>
      <c r="D6" s="22" t="s">
        <v>94</v>
      </c>
      <c r="E6" s="22" t="s">
        <v>210</v>
      </c>
      <c r="F6" s="22"/>
      <c r="G6" s="22"/>
      <c r="H6" s="23" t="str">
        <f aca="false">IF(E6&lt;&gt;"Fail","",IF(F6="Wrong recipient","ESCALATE: possible personal data breach - notify Team Lead / DPO immediately",IF(G6="No","Escalate to Team Lead - error not corrected","Logged - corrected before release")))</f>
        <v/>
      </c>
      <c r="I6" s="22"/>
    </row>
    <row r="7" customFormat="false" ht="15" hidden="false" customHeight="false" outlineLevel="0" collapsed="false">
      <c r="A7" s="24" t="n">
        <v>46293</v>
      </c>
      <c r="B7" s="22" t="s">
        <v>102</v>
      </c>
      <c r="C7" s="25" t="str">
        <f aca="false">IF(B7="","",IFERROR(INDEX(Request_Tracker!$B$6:$B$205,MATCH(B7,Request_Tracker!$A$6:$A$205,0)),"Req ID not found"))</f>
        <v>Coach Change</v>
      </c>
      <c r="D7" s="22" t="s">
        <v>100</v>
      </c>
      <c r="E7" s="22" t="s">
        <v>210</v>
      </c>
      <c r="F7" s="22"/>
      <c r="G7" s="22"/>
      <c r="H7" s="23" t="str">
        <f aca="false">IF(E7&lt;&gt;"Fail","",IF(F7="Wrong recipient","ESCALATE: possible personal data breach - notify Team Lead / DPO immediately",IF(G7="No","Escalate to Team Lead - error not corrected","Logged - corrected before release")))</f>
        <v/>
      </c>
      <c r="I7" s="22"/>
    </row>
    <row r="8" customFormat="false" ht="15" hidden="false" customHeight="false" outlineLevel="0" collapsed="false">
      <c r="A8" s="24" t="n">
        <v>46290</v>
      </c>
      <c r="B8" s="22" t="s">
        <v>112</v>
      </c>
      <c r="C8" s="25" t="str">
        <f aca="false">IF(B8="","",IFERROR(INDEX(Request_Tracker!$B$6:$B$205,MATCH(B8,Request_Tracker!$A$6:$A$205,0)),"Req ID not found"))</f>
        <v>Eyecare / VDU Voucher</v>
      </c>
      <c r="D8" s="22" t="s">
        <v>100</v>
      </c>
      <c r="E8" s="22" t="s">
        <v>210</v>
      </c>
      <c r="F8" s="22"/>
      <c r="G8" s="22"/>
      <c r="H8" s="23" t="str">
        <f aca="false">IF(E8&lt;&gt;"Fail","",IF(F8="Wrong recipient","ESCALATE: possible personal data breach - notify Team Lead / DPO immediately",IF(G8="No","Escalate to Team Lead - error not corrected","Logged - corrected before release")))</f>
        <v/>
      </c>
      <c r="I8" s="22"/>
    </row>
    <row r="9" customFormat="false" ht="15" hidden="false" customHeight="false" outlineLevel="0" collapsed="false">
      <c r="A9" s="24" t="n">
        <v>46294</v>
      </c>
      <c r="B9" s="22" t="s">
        <v>115</v>
      </c>
      <c r="C9" s="25" t="str">
        <f aca="false">IF(B9="","",IFERROR(INDEX(Request_Tracker!$B$6:$B$205,MATCH(B9,Request_Tracker!$A$6:$A$205,0)),"Req ID not found"))</f>
        <v>Personal Milestone</v>
      </c>
      <c r="D9" s="22" t="s">
        <v>94</v>
      </c>
      <c r="E9" s="22" t="s">
        <v>210</v>
      </c>
      <c r="F9" s="22"/>
      <c r="G9" s="22"/>
      <c r="H9" s="23" t="str">
        <f aca="false">IF(E9&lt;&gt;"Fail","",IF(F9="Wrong recipient","ESCALATE: possible personal data breach - notify Team Lead / DPO immediately",IF(G9="No","Escalate to Team Lead - error not corrected","Logged - corrected before release")))</f>
        <v/>
      </c>
      <c r="I9" s="22"/>
    </row>
    <row r="10" customFormat="false" ht="15" hidden="false" customHeight="false" outlineLevel="0" collapsed="false">
      <c r="A10" s="24" t="n">
        <v>46294</v>
      </c>
      <c r="B10" s="22" t="s">
        <v>107</v>
      </c>
      <c r="C10" s="25" t="str">
        <f aca="false">IF(B10="","",IFERROR(INDEX(Request_Tracker!$B$6:$B$205,MATCH(B10,Request_Tracker!$A$6:$A$205,0)),"Req ID not found"))</f>
        <v>Bike to Work</v>
      </c>
      <c r="D10" s="22" t="s">
        <v>94</v>
      </c>
      <c r="E10" s="22" t="s">
        <v>211</v>
      </c>
      <c r="F10" s="22" t="s">
        <v>212</v>
      </c>
      <c r="G10" s="22" t="s">
        <v>200</v>
      </c>
      <c r="H10" s="23" t="str">
        <f aca="false">IF(E10&lt;&gt;"Fail","",IF(F10="Wrong recipient","ESCALATE: possible personal data breach - notify Team Lead / DPO immediately",IF(G10="No","Escalate to Team Lead - error not corrected","Logged - corrected before release")))</f>
        <v>ESCALATE: possible personal data breach - notify Team Lead / DPO immediately</v>
      </c>
      <c r="I10" s="22" t="s">
        <v>213</v>
      </c>
    </row>
    <row r="11" customFormat="false" ht="15" hidden="false" customHeight="false" outlineLevel="0" collapsed="false">
      <c r="A11" s="24" t="n">
        <v>46295</v>
      </c>
      <c r="B11" s="22" t="s">
        <v>119</v>
      </c>
      <c r="C11" s="25" t="str">
        <f aca="false">IF(B11="","",IFERROR(INDEX(Request_Tracker!$B$6:$B$205,MATCH(B11,Request_Tracker!$A$6:$A$205,0)),"Req ID not found"))</f>
        <v>Salary Certificate</v>
      </c>
      <c r="D11" s="22" t="s">
        <v>100</v>
      </c>
      <c r="E11" s="22" t="s">
        <v>211</v>
      </c>
      <c r="F11" s="22" t="s">
        <v>214</v>
      </c>
      <c r="G11" s="22" t="s">
        <v>197</v>
      </c>
      <c r="H11" s="23" t="str">
        <f aca="false">IF(E11&lt;&gt;"Fail","",IF(F11="Wrong recipient","ESCALATE: possible personal data breach - notify Team Lead / DPO immediately",IF(G11="No","Escalate to Team Lead - error not corrected","Logged - corrected before release")))</f>
        <v>Logged - corrected before release</v>
      </c>
      <c r="I11" s="22" t="s">
        <v>215</v>
      </c>
    </row>
    <row r="12" customFormat="false" ht="15" hidden="false" customHeight="false" outlineLevel="0" collapsed="false">
      <c r="A12" s="24" t="n">
        <v>46296</v>
      </c>
      <c r="B12" s="22" t="s">
        <v>122</v>
      </c>
      <c r="C12" s="25" t="str">
        <f aca="false">IF(B12="","",IFERROR(INDEX(Request_Tracker!$B$6:$B$205,MATCH(B12,Request_Tracker!$A$6:$A$205,0)),"Req ID not found"))</f>
        <v>Reference Letter</v>
      </c>
      <c r="D12" s="22" t="s">
        <v>94</v>
      </c>
      <c r="E12" s="22" t="s">
        <v>210</v>
      </c>
      <c r="F12" s="22"/>
      <c r="G12" s="22"/>
      <c r="H12" s="23" t="str">
        <f aca="false">IF(E12&lt;&gt;"Fail","",IF(F12="Wrong recipient","ESCALATE: possible personal data breach - notify Team Lead / DPO immediately",IF(G12="No","Escalate to Team Lead - error not corrected","Logged - corrected before release")))</f>
        <v/>
      </c>
      <c r="I12" s="22"/>
    </row>
    <row r="13" customFormat="false" ht="15" hidden="false" customHeight="false" outlineLevel="0" collapsed="false">
      <c r="A13" s="24" t="n">
        <v>46296</v>
      </c>
      <c r="B13" s="22" t="s">
        <v>124</v>
      </c>
      <c r="C13" s="25" t="str">
        <f aca="false">IF(B13="","",IFERROR(INDEX(Request_Tracker!$B$6:$B$205,MATCH(B13,Request_Tracker!$A$6:$A$205,0)),"Req ID not found"))</f>
        <v>Reference Letter</v>
      </c>
      <c r="D13" s="22" t="s">
        <v>100</v>
      </c>
      <c r="E13" s="22" t="s">
        <v>210</v>
      </c>
      <c r="F13" s="22"/>
      <c r="G13" s="22"/>
      <c r="H13" s="23" t="str">
        <f aca="false">IF(E13&lt;&gt;"Fail","",IF(F13="Wrong recipient","ESCALATE: possible personal data breach - notify Team Lead / DPO immediately",IF(G13="No","Escalate to Team Lead - error not corrected","Logged - corrected before release")))</f>
        <v/>
      </c>
      <c r="I13" s="22"/>
    </row>
    <row r="14" customFormat="false" ht="15" hidden="false" customHeight="false" outlineLevel="0" collapsed="false">
      <c r="A14" s="24" t="n">
        <v>46296</v>
      </c>
      <c r="B14" s="22" t="s">
        <v>126</v>
      </c>
      <c r="C14" s="25" t="str">
        <f aca="false">IF(B14="","",IFERROR(INDEX(Request_Tracker!$B$6:$B$205,MATCH(B14,Request_Tracker!$A$6:$A$205,0)),"Req ID not found"))</f>
        <v>Coach Change</v>
      </c>
      <c r="D14" s="22" t="s">
        <v>94</v>
      </c>
      <c r="E14" s="22" t="s">
        <v>210</v>
      </c>
      <c r="F14" s="22"/>
      <c r="G14" s="22"/>
      <c r="H14" s="23" t="str">
        <f aca="false">IF(E14&lt;&gt;"Fail","",IF(F14="Wrong recipient","ESCALATE: possible personal data breach - notify Team Lead / DPO immediately",IF(G14="No","Escalate to Team Lead - error not corrected","Logged - corrected before release")))</f>
        <v/>
      </c>
      <c r="I14" s="22"/>
    </row>
    <row r="15" customFormat="false" ht="15" hidden="false" customHeight="false" outlineLevel="0" collapsed="false">
      <c r="A15" s="24" t="n">
        <v>46297</v>
      </c>
      <c r="B15" s="22" t="s">
        <v>128</v>
      </c>
      <c r="C15" s="25" t="str">
        <f aca="false">IF(B15="","",IFERROR(INDEX(Request_Tracker!$B$6:$B$205,MATCH(B15,Request_Tracker!$A$6:$A$205,0)),"Req ID not found"))</f>
        <v>Bike to Work</v>
      </c>
      <c r="D15" s="22" t="s">
        <v>100</v>
      </c>
      <c r="E15" s="22" t="s">
        <v>210</v>
      </c>
      <c r="F15" s="22"/>
      <c r="G15" s="22"/>
      <c r="H15" s="23" t="str">
        <f aca="false">IF(E15&lt;&gt;"Fail","",IF(F15="Wrong recipient","ESCALATE: possible personal data breach - notify Team Lead / DPO immediately",IF(G15="No","Escalate to Team Lead - error not corrected","Logged - corrected before release")))</f>
        <v/>
      </c>
      <c r="I15" s="22"/>
    </row>
    <row r="16" customFormat="false" ht="15" hidden="false" customHeight="false" outlineLevel="0" collapsed="false">
      <c r="A16" s="24" t="n">
        <v>46297</v>
      </c>
      <c r="B16" s="22" t="s">
        <v>131</v>
      </c>
      <c r="C16" s="25" t="str">
        <f aca="false">IF(B16="","",IFERROR(INDEX(Request_Tracker!$B$6:$B$205,MATCH(B16,Request_Tracker!$A$6:$A$205,0)),"Req ID not found"))</f>
        <v>Salary Certificate</v>
      </c>
      <c r="D16" s="22" t="s">
        <v>94</v>
      </c>
      <c r="E16" s="22" t="s">
        <v>210</v>
      </c>
      <c r="F16" s="22"/>
      <c r="G16" s="22"/>
      <c r="H16" s="23" t="str">
        <f aca="false">IF(E16&lt;&gt;"Fail","",IF(F16="Wrong recipient","ESCALATE: possible personal data breach - notify Team Lead / DPO immediately",IF(G16="No","Escalate to Team Lead - error not corrected","Logged - corrected before release")))</f>
        <v/>
      </c>
      <c r="I16" s="22"/>
    </row>
    <row r="17" customFormat="false" ht="15" hidden="false" customHeight="false" outlineLevel="0" collapsed="false">
      <c r="A17" s="24"/>
      <c r="B17" s="22"/>
      <c r="C17" s="25" t="str">
        <f aca="false">IF(B17="","",IFERROR(INDEX(Request_Tracker!$B$6:$B$205,MATCH(B17,Request_Tracker!$A$6:$A$205,0)),"Req ID not found"))</f>
        <v/>
      </c>
      <c r="D17" s="22"/>
      <c r="E17" s="22"/>
      <c r="F17" s="22"/>
      <c r="G17" s="22"/>
      <c r="H17" s="23" t="str">
        <f aca="false">IF(E17&lt;&gt;"Fail","",IF(F17="Wrong recipient","ESCALATE: possible personal data breach - notify Team Lead / DPO immediately",IF(G17="No","Escalate to Team Lead - error not corrected","Logged - corrected before release")))</f>
        <v/>
      </c>
      <c r="I17" s="22"/>
    </row>
    <row r="18" customFormat="false" ht="15" hidden="false" customHeight="false" outlineLevel="0" collapsed="false">
      <c r="A18" s="24"/>
      <c r="B18" s="22"/>
      <c r="C18" s="25" t="str">
        <f aca="false">IF(B18="","",IFERROR(INDEX(Request_Tracker!$B$6:$B$205,MATCH(B18,Request_Tracker!$A$6:$A$205,0)),"Req ID not found"))</f>
        <v/>
      </c>
      <c r="D18" s="22"/>
      <c r="E18" s="22"/>
      <c r="F18" s="22"/>
      <c r="G18" s="22"/>
      <c r="H18" s="23" t="str">
        <f aca="false">IF(E18&lt;&gt;"Fail","",IF(F18="Wrong recipient","ESCALATE: possible personal data breach - notify Team Lead / DPO immediately",IF(G18="No","Escalate to Team Lead - error not corrected","Logged - corrected before release")))</f>
        <v/>
      </c>
      <c r="I18" s="22"/>
    </row>
    <row r="19" customFormat="false" ht="15" hidden="false" customHeight="false" outlineLevel="0" collapsed="false">
      <c r="A19" s="24"/>
      <c r="B19" s="22"/>
      <c r="C19" s="25" t="str">
        <f aca="false">IF(B19="","",IFERROR(INDEX(Request_Tracker!$B$6:$B$205,MATCH(B19,Request_Tracker!$A$6:$A$205,0)),"Req ID not found"))</f>
        <v/>
      </c>
      <c r="D19" s="22"/>
      <c r="E19" s="22"/>
      <c r="F19" s="22"/>
      <c r="G19" s="22"/>
      <c r="H19" s="23" t="str">
        <f aca="false">IF(E19&lt;&gt;"Fail","",IF(F19="Wrong recipient","ESCALATE: possible personal data breach - notify Team Lead / DPO immediately",IF(G19="No","Escalate to Team Lead - error not corrected","Logged - corrected before release")))</f>
        <v/>
      </c>
      <c r="I19" s="22"/>
    </row>
    <row r="20" customFormat="false" ht="15" hidden="false" customHeight="false" outlineLevel="0" collapsed="false">
      <c r="A20" s="24"/>
      <c r="B20" s="22"/>
      <c r="C20" s="25" t="str">
        <f aca="false">IF(B20="","",IFERROR(INDEX(Request_Tracker!$B$6:$B$205,MATCH(B20,Request_Tracker!$A$6:$A$205,0)),"Req ID not found"))</f>
        <v/>
      </c>
      <c r="D20" s="22"/>
      <c r="E20" s="22"/>
      <c r="F20" s="22"/>
      <c r="G20" s="22"/>
      <c r="H20" s="23" t="str">
        <f aca="false">IF(E20&lt;&gt;"Fail","",IF(F20="Wrong recipient","ESCALATE: possible personal data breach - notify Team Lead / DPO immediately",IF(G20="No","Escalate to Team Lead - error not corrected","Logged - corrected before release")))</f>
        <v/>
      </c>
      <c r="I20" s="22"/>
    </row>
    <row r="21" customFormat="false" ht="15" hidden="false" customHeight="false" outlineLevel="0" collapsed="false">
      <c r="A21" s="24"/>
      <c r="B21" s="22"/>
      <c r="C21" s="25" t="str">
        <f aca="false">IF(B21="","",IFERROR(INDEX(Request_Tracker!$B$6:$B$205,MATCH(B21,Request_Tracker!$A$6:$A$205,0)),"Req ID not found"))</f>
        <v/>
      </c>
      <c r="D21" s="22"/>
      <c r="E21" s="22"/>
      <c r="F21" s="22"/>
      <c r="G21" s="22"/>
      <c r="H21" s="23" t="str">
        <f aca="false">IF(E21&lt;&gt;"Fail","",IF(F21="Wrong recipient","ESCALATE: possible personal data breach - notify Team Lead / DPO immediately",IF(G21="No","Escalate to Team Lead - error not corrected","Logged - corrected before release")))</f>
        <v/>
      </c>
      <c r="I21" s="22"/>
    </row>
    <row r="22" customFormat="false" ht="15" hidden="false" customHeight="false" outlineLevel="0" collapsed="false">
      <c r="A22" s="24"/>
      <c r="B22" s="22"/>
      <c r="C22" s="25" t="str">
        <f aca="false">IF(B22="","",IFERROR(INDEX(Request_Tracker!$B$6:$B$205,MATCH(B22,Request_Tracker!$A$6:$A$205,0)),"Req ID not found"))</f>
        <v/>
      </c>
      <c r="D22" s="22"/>
      <c r="E22" s="22"/>
      <c r="F22" s="22"/>
      <c r="G22" s="22"/>
      <c r="H22" s="23" t="str">
        <f aca="false">IF(E22&lt;&gt;"Fail","",IF(F22="Wrong recipient","ESCALATE: possible personal data breach - notify Team Lead / DPO immediately",IF(G22="No","Escalate to Team Lead - error not corrected","Logged - corrected before release")))</f>
        <v/>
      </c>
      <c r="I22" s="22"/>
    </row>
    <row r="23" customFormat="false" ht="15" hidden="false" customHeight="false" outlineLevel="0" collapsed="false">
      <c r="A23" s="24"/>
      <c r="B23" s="22"/>
      <c r="C23" s="25" t="str">
        <f aca="false">IF(B23="","",IFERROR(INDEX(Request_Tracker!$B$6:$B$205,MATCH(B23,Request_Tracker!$A$6:$A$205,0)),"Req ID not found"))</f>
        <v/>
      </c>
      <c r="D23" s="22"/>
      <c r="E23" s="22"/>
      <c r="F23" s="22"/>
      <c r="G23" s="22"/>
      <c r="H23" s="23" t="str">
        <f aca="false">IF(E23&lt;&gt;"Fail","",IF(F23="Wrong recipient","ESCALATE: possible personal data breach - notify Team Lead / DPO immediately",IF(G23="No","Escalate to Team Lead - error not corrected","Logged - corrected before release")))</f>
        <v/>
      </c>
      <c r="I23" s="22"/>
    </row>
    <row r="24" customFormat="false" ht="15" hidden="false" customHeight="false" outlineLevel="0" collapsed="false">
      <c r="A24" s="24"/>
      <c r="B24" s="22"/>
      <c r="C24" s="25" t="str">
        <f aca="false">IF(B24="","",IFERROR(INDEX(Request_Tracker!$B$6:$B$205,MATCH(B24,Request_Tracker!$A$6:$A$205,0)),"Req ID not found"))</f>
        <v/>
      </c>
      <c r="D24" s="22"/>
      <c r="E24" s="22"/>
      <c r="F24" s="22"/>
      <c r="G24" s="22"/>
      <c r="H24" s="23" t="str">
        <f aca="false">IF(E24&lt;&gt;"Fail","",IF(F24="Wrong recipient","ESCALATE: possible personal data breach - notify Team Lead / DPO immediately",IF(G24="No","Escalate to Team Lead - error not corrected","Logged - corrected before release")))</f>
        <v/>
      </c>
      <c r="I24" s="22"/>
    </row>
    <row r="25" customFormat="false" ht="15" hidden="false" customHeight="false" outlineLevel="0" collapsed="false">
      <c r="A25" s="24"/>
      <c r="B25" s="22"/>
      <c r="C25" s="25" t="str">
        <f aca="false">IF(B25="","",IFERROR(INDEX(Request_Tracker!$B$6:$B$205,MATCH(B25,Request_Tracker!$A$6:$A$205,0)),"Req ID not found"))</f>
        <v/>
      </c>
      <c r="D25" s="22"/>
      <c r="E25" s="22"/>
      <c r="F25" s="22"/>
      <c r="G25" s="22"/>
      <c r="H25" s="23" t="str">
        <f aca="false">IF(E25&lt;&gt;"Fail","",IF(F25="Wrong recipient","ESCALATE: possible personal data breach - notify Team Lead / DPO immediately",IF(G25="No","Escalate to Team Lead - error not corrected","Logged - corrected before release")))</f>
        <v/>
      </c>
      <c r="I25" s="22"/>
    </row>
    <row r="26" customFormat="false" ht="15" hidden="false" customHeight="false" outlineLevel="0" collapsed="false">
      <c r="A26" s="24"/>
      <c r="B26" s="22"/>
      <c r="C26" s="25" t="str">
        <f aca="false">IF(B26="","",IFERROR(INDEX(Request_Tracker!$B$6:$B$205,MATCH(B26,Request_Tracker!$A$6:$A$205,0)),"Req ID not found"))</f>
        <v/>
      </c>
      <c r="D26" s="22"/>
      <c r="E26" s="22"/>
      <c r="F26" s="22"/>
      <c r="G26" s="22"/>
      <c r="H26" s="23" t="str">
        <f aca="false">IF(E26&lt;&gt;"Fail","",IF(F26="Wrong recipient","ESCALATE: possible personal data breach - notify Team Lead / DPO immediately",IF(G26="No","Escalate to Team Lead - error not corrected","Logged - corrected before release")))</f>
        <v/>
      </c>
      <c r="I26" s="22"/>
    </row>
    <row r="27" customFormat="false" ht="15" hidden="false" customHeight="false" outlineLevel="0" collapsed="false">
      <c r="A27" s="24"/>
      <c r="B27" s="22"/>
      <c r="C27" s="25" t="str">
        <f aca="false">IF(B27="","",IFERROR(INDEX(Request_Tracker!$B$6:$B$205,MATCH(B27,Request_Tracker!$A$6:$A$205,0)),"Req ID not found"))</f>
        <v/>
      </c>
      <c r="D27" s="22"/>
      <c r="E27" s="22"/>
      <c r="F27" s="22"/>
      <c r="G27" s="22"/>
      <c r="H27" s="23" t="str">
        <f aca="false">IF(E27&lt;&gt;"Fail","",IF(F27="Wrong recipient","ESCALATE: possible personal data breach - notify Team Lead / DPO immediately",IF(G27="No","Escalate to Team Lead - error not corrected","Logged - corrected before release")))</f>
        <v/>
      </c>
      <c r="I27" s="22"/>
    </row>
    <row r="28" customFormat="false" ht="15" hidden="false" customHeight="false" outlineLevel="0" collapsed="false">
      <c r="A28" s="24"/>
      <c r="B28" s="22"/>
      <c r="C28" s="25" t="str">
        <f aca="false">IF(B28="","",IFERROR(INDEX(Request_Tracker!$B$6:$B$205,MATCH(B28,Request_Tracker!$A$6:$A$205,0)),"Req ID not found"))</f>
        <v/>
      </c>
      <c r="D28" s="22"/>
      <c r="E28" s="22"/>
      <c r="F28" s="22"/>
      <c r="G28" s="22"/>
      <c r="H28" s="23" t="str">
        <f aca="false">IF(E28&lt;&gt;"Fail","",IF(F28="Wrong recipient","ESCALATE: possible personal data breach - notify Team Lead / DPO immediately",IF(G28="No","Escalate to Team Lead - error not corrected","Logged - corrected before release")))</f>
        <v/>
      </c>
      <c r="I28" s="22"/>
    </row>
    <row r="29" customFormat="false" ht="15" hidden="false" customHeight="false" outlineLevel="0" collapsed="false">
      <c r="A29" s="24"/>
      <c r="B29" s="22"/>
      <c r="C29" s="25" t="str">
        <f aca="false">IF(B29="","",IFERROR(INDEX(Request_Tracker!$B$6:$B$205,MATCH(B29,Request_Tracker!$A$6:$A$205,0)),"Req ID not found"))</f>
        <v/>
      </c>
      <c r="D29" s="22"/>
      <c r="E29" s="22"/>
      <c r="F29" s="22"/>
      <c r="G29" s="22"/>
      <c r="H29" s="23" t="str">
        <f aca="false">IF(E29&lt;&gt;"Fail","",IF(F29="Wrong recipient","ESCALATE: possible personal data breach - notify Team Lead / DPO immediately",IF(G29="No","Escalate to Team Lead - error not corrected","Logged - corrected before release")))</f>
        <v/>
      </c>
      <c r="I29" s="22"/>
    </row>
    <row r="30" customFormat="false" ht="15" hidden="false" customHeight="false" outlineLevel="0" collapsed="false">
      <c r="A30" s="24"/>
      <c r="B30" s="22"/>
      <c r="C30" s="25" t="str">
        <f aca="false">IF(B30="","",IFERROR(INDEX(Request_Tracker!$B$6:$B$205,MATCH(B30,Request_Tracker!$A$6:$A$205,0)),"Req ID not found"))</f>
        <v/>
      </c>
      <c r="D30" s="22"/>
      <c r="E30" s="22"/>
      <c r="F30" s="22"/>
      <c r="G30" s="22"/>
      <c r="H30" s="23" t="str">
        <f aca="false">IF(E30&lt;&gt;"Fail","",IF(F30="Wrong recipient","ESCALATE: possible personal data breach - notify Team Lead / DPO immediately",IF(G30="No","Escalate to Team Lead - error not corrected","Logged - corrected before release")))</f>
        <v/>
      </c>
      <c r="I30" s="22"/>
    </row>
    <row r="31" customFormat="false" ht="15" hidden="false" customHeight="false" outlineLevel="0" collapsed="false">
      <c r="A31" s="24"/>
      <c r="B31" s="22"/>
      <c r="C31" s="25" t="str">
        <f aca="false">IF(B31="","",IFERROR(INDEX(Request_Tracker!$B$6:$B$205,MATCH(B31,Request_Tracker!$A$6:$A$205,0)),"Req ID not found"))</f>
        <v/>
      </c>
      <c r="D31" s="22"/>
      <c r="E31" s="22"/>
      <c r="F31" s="22"/>
      <c r="G31" s="22"/>
      <c r="H31" s="23" t="str">
        <f aca="false">IF(E31&lt;&gt;"Fail","",IF(F31="Wrong recipient","ESCALATE: possible personal data breach - notify Team Lead / DPO immediately",IF(G31="No","Escalate to Team Lead - error not corrected","Logged - corrected before release")))</f>
        <v/>
      </c>
      <c r="I31" s="22"/>
    </row>
    <row r="32" customFormat="false" ht="15" hidden="false" customHeight="false" outlineLevel="0" collapsed="false">
      <c r="A32" s="24"/>
      <c r="B32" s="22"/>
      <c r="C32" s="25" t="str">
        <f aca="false">IF(B32="","",IFERROR(INDEX(Request_Tracker!$B$6:$B$205,MATCH(B32,Request_Tracker!$A$6:$A$205,0)),"Req ID not found"))</f>
        <v/>
      </c>
      <c r="D32" s="22"/>
      <c r="E32" s="22"/>
      <c r="F32" s="22"/>
      <c r="G32" s="22"/>
      <c r="H32" s="23" t="str">
        <f aca="false">IF(E32&lt;&gt;"Fail","",IF(F32="Wrong recipient","ESCALATE: possible personal data breach - notify Team Lead / DPO immediately",IF(G32="No","Escalate to Team Lead - error not corrected","Logged - corrected before release")))</f>
        <v/>
      </c>
      <c r="I32" s="22"/>
    </row>
    <row r="33" customFormat="false" ht="15" hidden="false" customHeight="false" outlineLevel="0" collapsed="false">
      <c r="A33" s="24"/>
      <c r="B33" s="22"/>
      <c r="C33" s="25" t="str">
        <f aca="false">IF(B33="","",IFERROR(INDEX(Request_Tracker!$B$6:$B$205,MATCH(B33,Request_Tracker!$A$6:$A$205,0)),"Req ID not found"))</f>
        <v/>
      </c>
      <c r="D33" s="22"/>
      <c r="E33" s="22"/>
      <c r="F33" s="22"/>
      <c r="G33" s="22"/>
      <c r="H33" s="23" t="str">
        <f aca="false">IF(E33&lt;&gt;"Fail","",IF(F33="Wrong recipient","ESCALATE: possible personal data breach - notify Team Lead / DPO immediately",IF(G33="No","Escalate to Team Lead - error not corrected","Logged - corrected before release")))</f>
        <v/>
      </c>
      <c r="I33" s="22"/>
    </row>
    <row r="34" customFormat="false" ht="15" hidden="false" customHeight="false" outlineLevel="0" collapsed="false">
      <c r="A34" s="24"/>
      <c r="B34" s="22"/>
      <c r="C34" s="25" t="str">
        <f aca="false">IF(B34="","",IFERROR(INDEX(Request_Tracker!$B$6:$B$205,MATCH(B34,Request_Tracker!$A$6:$A$205,0)),"Req ID not found"))</f>
        <v/>
      </c>
      <c r="D34" s="22"/>
      <c r="E34" s="22"/>
      <c r="F34" s="22"/>
      <c r="G34" s="22"/>
      <c r="H34" s="23" t="str">
        <f aca="false">IF(E34&lt;&gt;"Fail","",IF(F34="Wrong recipient","ESCALATE: possible personal data breach - notify Team Lead / DPO immediately",IF(G34="No","Escalate to Team Lead - error not corrected","Logged - corrected before release")))</f>
        <v/>
      </c>
      <c r="I34" s="22"/>
    </row>
    <row r="35" customFormat="false" ht="15" hidden="false" customHeight="false" outlineLevel="0" collapsed="false">
      <c r="A35" s="24"/>
      <c r="B35" s="22"/>
      <c r="C35" s="25" t="str">
        <f aca="false">IF(B35="","",IFERROR(INDEX(Request_Tracker!$B$6:$B$205,MATCH(B35,Request_Tracker!$A$6:$A$205,0)),"Req ID not found"))</f>
        <v/>
      </c>
      <c r="D35" s="22"/>
      <c r="E35" s="22"/>
      <c r="F35" s="22"/>
      <c r="G35" s="22"/>
      <c r="H35" s="23" t="str">
        <f aca="false">IF(E35&lt;&gt;"Fail","",IF(F35="Wrong recipient","ESCALATE: possible personal data breach - notify Team Lead / DPO immediately",IF(G35="No","Escalate to Team Lead - error not corrected","Logged - corrected before release")))</f>
        <v/>
      </c>
      <c r="I35" s="22"/>
    </row>
    <row r="36" customFormat="false" ht="15" hidden="false" customHeight="false" outlineLevel="0" collapsed="false">
      <c r="A36" s="24"/>
      <c r="B36" s="22"/>
      <c r="C36" s="25" t="str">
        <f aca="false">IF(B36="","",IFERROR(INDEX(Request_Tracker!$B$6:$B$205,MATCH(B36,Request_Tracker!$A$6:$A$205,0)),"Req ID not found"))</f>
        <v/>
      </c>
      <c r="D36" s="22"/>
      <c r="E36" s="22"/>
      <c r="F36" s="22"/>
      <c r="G36" s="22"/>
      <c r="H36" s="23" t="str">
        <f aca="false">IF(E36&lt;&gt;"Fail","",IF(F36="Wrong recipient","ESCALATE: possible personal data breach - notify Team Lead / DPO immediately",IF(G36="No","Escalate to Team Lead - error not corrected","Logged - corrected before release")))</f>
        <v/>
      </c>
      <c r="I36" s="22"/>
    </row>
    <row r="37" customFormat="false" ht="15" hidden="false" customHeight="false" outlineLevel="0" collapsed="false">
      <c r="A37" s="24"/>
      <c r="B37" s="22"/>
      <c r="C37" s="25" t="str">
        <f aca="false">IF(B37="","",IFERROR(INDEX(Request_Tracker!$B$6:$B$205,MATCH(B37,Request_Tracker!$A$6:$A$205,0)),"Req ID not found"))</f>
        <v/>
      </c>
      <c r="D37" s="22"/>
      <c r="E37" s="22"/>
      <c r="F37" s="22"/>
      <c r="G37" s="22"/>
      <c r="H37" s="23" t="str">
        <f aca="false">IF(E37&lt;&gt;"Fail","",IF(F37="Wrong recipient","ESCALATE: possible personal data breach - notify Team Lead / DPO immediately",IF(G37="No","Escalate to Team Lead - error not corrected","Logged - corrected before release")))</f>
        <v/>
      </c>
      <c r="I37" s="22"/>
    </row>
    <row r="38" customFormat="false" ht="15" hidden="false" customHeight="false" outlineLevel="0" collapsed="false">
      <c r="A38" s="24"/>
      <c r="B38" s="22"/>
      <c r="C38" s="25" t="str">
        <f aca="false">IF(B38="","",IFERROR(INDEX(Request_Tracker!$B$6:$B$205,MATCH(B38,Request_Tracker!$A$6:$A$205,0)),"Req ID not found"))</f>
        <v/>
      </c>
      <c r="D38" s="22"/>
      <c r="E38" s="22"/>
      <c r="F38" s="22"/>
      <c r="G38" s="22"/>
      <c r="H38" s="23" t="str">
        <f aca="false">IF(E38&lt;&gt;"Fail","",IF(F38="Wrong recipient","ESCALATE: possible personal data breach - notify Team Lead / DPO immediately",IF(G38="No","Escalate to Team Lead - error not corrected","Logged - corrected before release")))</f>
        <v/>
      </c>
      <c r="I38" s="22"/>
    </row>
    <row r="39" customFormat="false" ht="15" hidden="false" customHeight="false" outlineLevel="0" collapsed="false">
      <c r="A39" s="24"/>
      <c r="B39" s="22"/>
      <c r="C39" s="25" t="str">
        <f aca="false">IF(B39="","",IFERROR(INDEX(Request_Tracker!$B$6:$B$205,MATCH(B39,Request_Tracker!$A$6:$A$205,0)),"Req ID not found"))</f>
        <v/>
      </c>
      <c r="D39" s="22"/>
      <c r="E39" s="22"/>
      <c r="F39" s="22"/>
      <c r="G39" s="22"/>
      <c r="H39" s="23" t="str">
        <f aca="false">IF(E39&lt;&gt;"Fail","",IF(F39="Wrong recipient","ESCALATE: possible personal data breach - notify Team Lead / DPO immediately",IF(G39="No","Escalate to Team Lead - error not corrected","Logged - corrected before release")))</f>
        <v/>
      </c>
      <c r="I39" s="22"/>
    </row>
    <row r="40" customFormat="false" ht="15" hidden="false" customHeight="false" outlineLevel="0" collapsed="false">
      <c r="A40" s="24"/>
      <c r="B40" s="22"/>
      <c r="C40" s="25" t="str">
        <f aca="false">IF(B40="","",IFERROR(INDEX(Request_Tracker!$B$6:$B$205,MATCH(B40,Request_Tracker!$A$6:$A$205,0)),"Req ID not found"))</f>
        <v/>
      </c>
      <c r="D40" s="22"/>
      <c r="E40" s="22"/>
      <c r="F40" s="22"/>
      <c r="G40" s="22"/>
      <c r="H40" s="23" t="str">
        <f aca="false">IF(E40&lt;&gt;"Fail","",IF(F40="Wrong recipient","ESCALATE: possible personal data breach - notify Team Lead / DPO immediately",IF(G40="No","Escalate to Team Lead - error not corrected","Logged - corrected before release")))</f>
        <v/>
      </c>
      <c r="I40" s="22"/>
    </row>
    <row r="41" customFormat="false" ht="15" hidden="false" customHeight="false" outlineLevel="0" collapsed="false">
      <c r="A41" s="24"/>
      <c r="B41" s="22"/>
      <c r="C41" s="25" t="str">
        <f aca="false">IF(B41="","",IFERROR(INDEX(Request_Tracker!$B$6:$B$205,MATCH(B41,Request_Tracker!$A$6:$A$205,0)),"Req ID not found"))</f>
        <v/>
      </c>
      <c r="D41" s="22"/>
      <c r="E41" s="22"/>
      <c r="F41" s="22"/>
      <c r="G41" s="22"/>
      <c r="H41" s="23" t="str">
        <f aca="false">IF(E41&lt;&gt;"Fail","",IF(F41="Wrong recipient","ESCALATE: possible personal data breach - notify Team Lead / DPO immediately",IF(G41="No","Escalate to Team Lead - error not corrected","Logged - corrected before release")))</f>
        <v/>
      </c>
      <c r="I41" s="22"/>
    </row>
    <row r="42" customFormat="false" ht="15" hidden="false" customHeight="false" outlineLevel="0" collapsed="false">
      <c r="A42" s="24"/>
      <c r="B42" s="22"/>
      <c r="C42" s="25" t="str">
        <f aca="false">IF(B42="","",IFERROR(INDEX(Request_Tracker!$B$6:$B$205,MATCH(B42,Request_Tracker!$A$6:$A$205,0)),"Req ID not found"))</f>
        <v/>
      </c>
      <c r="D42" s="22"/>
      <c r="E42" s="22"/>
      <c r="F42" s="22"/>
      <c r="G42" s="22"/>
      <c r="H42" s="23" t="str">
        <f aca="false">IF(E42&lt;&gt;"Fail","",IF(F42="Wrong recipient","ESCALATE: possible personal data breach - notify Team Lead / DPO immediately",IF(G42="No","Escalate to Team Lead - error not corrected","Logged - corrected before release")))</f>
        <v/>
      </c>
      <c r="I42" s="22"/>
    </row>
    <row r="43" customFormat="false" ht="15" hidden="false" customHeight="false" outlineLevel="0" collapsed="false">
      <c r="A43" s="24"/>
      <c r="B43" s="22"/>
      <c r="C43" s="25" t="str">
        <f aca="false">IF(B43="","",IFERROR(INDEX(Request_Tracker!$B$6:$B$205,MATCH(B43,Request_Tracker!$A$6:$A$205,0)),"Req ID not found"))</f>
        <v/>
      </c>
      <c r="D43" s="22"/>
      <c r="E43" s="22"/>
      <c r="F43" s="22"/>
      <c r="G43" s="22"/>
      <c r="H43" s="23" t="str">
        <f aca="false">IF(E43&lt;&gt;"Fail","",IF(F43="Wrong recipient","ESCALATE: possible personal data breach - notify Team Lead / DPO immediately",IF(G43="No","Escalate to Team Lead - error not corrected","Logged - corrected before release")))</f>
        <v/>
      </c>
      <c r="I43" s="22"/>
    </row>
    <row r="44" customFormat="false" ht="15" hidden="false" customHeight="false" outlineLevel="0" collapsed="false">
      <c r="A44" s="24"/>
      <c r="B44" s="22"/>
      <c r="C44" s="25" t="str">
        <f aca="false">IF(B44="","",IFERROR(INDEX(Request_Tracker!$B$6:$B$205,MATCH(B44,Request_Tracker!$A$6:$A$205,0)),"Req ID not found"))</f>
        <v/>
      </c>
      <c r="D44" s="22"/>
      <c r="E44" s="22"/>
      <c r="F44" s="22"/>
      <c r="G44" s="22"/>
      <c r="H44" s="23" t="str">
        <f aca="false">IF(E44&lt;&gt;"Fail","",IF(F44="Wrong recipient","ESCALATE: possible personal data breach - notify Team Lead / DPO immediately",IF(G44="No","Escalate to Team Lead - error not corrected","Logged - corrected before release")))</f>
        <v/>
      </c>
      <c r="I44" s="22"/>
    </row>
    <row r="45" customFormat="false" ht="15" hidden="false" customHeight="false" outlineLevel="0" collapsed="false">
      <c r="A45" s="24"/>
      <c r="B45" s="22"/>
      <c r="C45" s="25" t="str">
        <f aca="false">IF(B45="","",IFERROR(INDEX(Request_Tracker!$B$6:$B$205,MATCH(B45,Request_Tracker!$A$6:$A$205,0)),"Req ID not found"))</f>
        <v/>
      </c>
      <c r="D45" s="22"/>
      <c r="E45" s="22"/>
      <c r="F45" s="22"/>
      <c r="G45" s="22"/>
      <c r="H45" s="23" t="str">
        <f aca="false">IF(E45&lt;&gt;"Fail","",IF(F45="Wrong recipient","ESCALATE: possible personal data breach - notify Team Lead / DPO immediately",IF(G45="No","Escalate to Team Lead - error not corrected","Logged - corrected before release")))</f>
        <v/>
      </c>
      <c r="I45" s="22"/>
    </row>
    <row r="46" customFormat="false" ht="15" hidden="false" customHeight="false" outlineLevel="0" collapsed="false">
      <c r="A46" s="24"/>
      <c r="B46" s="22"/>
      <c r="C46" s="25" t="str">
        <f aca="false">IF(B46="","",IFERROR(INDEX(Request_Tracker!$B$6:$B$205,MATCH(B46,Request_Tracker!$A$6:$A$205,0)),"Req ID not found"))</f>
        <v/>
      </c>
      <c r="D46" s="22"/>
      <c r="E46" s="22"/>
      <c r="F46" s="22"/>
      <c r="G46" s="22"/>
      <c r="H46" s="23" t="str">
        <f aca="false">IF(E46&lt;&gt;"Fail","",IF(F46="Wrong recipient","ESCALATE: possible personal data breach - notify Team Lead / DPO immediately",IF(G46="No","Escalate to Team Lead - error not corrected","Logged - corrected before release")))</f>
        <v/>
      </c>
      <c r="I46" s="22"/>
    </row>
    <row r="47" customFormat="false" ht="15" hidden="false" customHeight="false" outlineLevel="0" collapsed="false">
      <c r="A47" s="24"/>
      <c r="B47" s="22"/>
      <c r="C47" s="25" t="str">
        <f aca="false">IF(B47="","",IFERROR(INDEX(Request_Tracker!$B$6:$B$205,MATCH(B47,Request_Tracker!$A$6:$A$205,0)),"Req ID not found"))</f>
        <v/>
      </c>
      <c r="D47" s="22"/>
      <c r="E47" s="22"/>
      <c r="F47" s="22"/>
      <c r="G47" s="22"/>
      <c r="H47" s="23" t="str">
        <f aca="false">IF(E47&lt;&gt;"Fail","",IF(F47="Wrong recipient","ESCALATE: possible personal data breach - notify Team Lead / DPO immediately",IF(G47="No","Escalate to Team Lead - error not corrected","Logged - corrected before release")))</f>
        <v/>
      </c>
      <c r="I47" s="22"/>
    </row>
    <row r="48" customFormat="false" ht="15" hidden="false" customHeight="false" outlineLevel="0" collapsed="false">
      <c r="A48" s="24"/>
      <c r="B48" s="22"/>
      <c r="C48" s="25" t="str">
        <f aca="false">IF(B48="","",IFERROR(INDEX(Request_Tracker!$B$6:$B$205,MATCH(B48,Request_Tracker!$A$6:$A$205,0)),"Req ID not found"))</f>
        <v/>
      </c>
      <c r="D48" s="22"/>
      <c r="E48" s="22"/>
      <c r="F48" s="22"/>
      <c r="G48" s="22"/>
      <c r="H48" s="23" t="str">
        <f aca="false">IF(E48&lt;&gt;"Fail","",IF(F48="Wrong recipient","ESCALATE: possible personal data breach - notify Team Lead / DPO immediately",IF(G48="No","Escalate to Team Lead - error not corrected","Logged - corrected before release")))</f>
        <v/>
      </c>
      <c r="I48" s="22"/>
    </row>
    <row r="49" customFormat="false" ht="15" hidden="false" customHeight="false" outlineLevel="0" collapsed="false">
      <c r="A49" s="24"/>
      <c r="B49" s="22"/>
      <c r="C49" s="25" t="str">
        <f aca="false">IF(B49="","",IFERROR(INDEX(Request_Tracker!$B$6:$B$205,MATCH(B49,Request_Tracker!$A$6:$A$205,0)),"Req ID not found"))</f>
        <v/>
      </c>
      <c r="D49" s="22"/>
      <c r="E49" s="22"/>
      <c r="F49" s="22"/>
      <c r="G49" s="22"/>
      <c r="H49" s="23" t="str">
        <f aca="false">IF(E49&lt;&gt;"Fail","",IF(F49="Wrong recipient","ESCALATE: possible personal data breach - notify Team Lead / DPO immediately",IF(G49="No","Escalate to Team Lead - error not corrected","Logged - corrected before release")))</f>
        <v/>
      </c>
      <c r="I49" s="22"/>
    </row>
    <row r="50" customFormat="false" ht="15" hidden="false" customHeight="false" outlineLevel="0" collapsed="false">
      <c r="A50" s="24"/>
      <c r="B50" s="22"/>
      <c r="C50" s="25" t="str">
        <f aca="false">IF(B50="","",IFERROR(INDEX(Request_Tracker!$B$6:$B$205,MATCH(B50,Request_Tracker!$A$6:$A$205,0)),"Req ID not found"))</f>
        <v/>
      </c>
      <c r="D50" s="22"/>
      <c r="E50" s="22"/>
      <c r="F50" s="22"/>
      <c r="G50" s="22"/>
      <c r="H50" s="23" t="str">
        <f aca="false">IF(E50&lt;&gt;"Fail","",IF(F50="Wrong recipient","ESCALATE: possible personal data breach - notify Team Lead / DPO immediately",IF(G50="No","Escalate to Team Lead - error not corrected","Logged - corrected before release")))</f>
        <v/>
      </c>
      <c r="I50" s="22"/>
    </row>
    <row r="51" customFormat="false" ht="15" hidden="false" customHeight="false" outlineLevel="0" collapsed="false">
      <c r="A51" s="24"/>
      <c r="B51" s="22"/>
      <c r="C51" s="25" t="str">
        <f aca="false">IF(B51="","",IFERROR(INDEX(Request_Tracker!$B$6:$B$205,MATCH(B51,Request_Tracker!$A$6:$A$205,0)),"Req ID not found"))</f>
        <v/>
      </c>
      <c r="D51" s="22"/>
      <c r="E51" s="22"/>
      <c r="F51" s="22"/>
      <c r="G51" s="22"/>
      <c r="H51" s="23" t="str">
        <f aca="false">IF(E51&lt;&gt;"Fail","",IF(F51="Wrong recipient","ESCALATE: possible personal data breach - notify Team Lead / DPO immediately",IF(G51="No","Escalate to Team Lead - error not corrected","Logged - corrected before release")))</f>
        <v/>
      </c>
      <c r="I51" s="22"/>
    </row>
    <row r="52" customFormat="false" ht="15" hidden="false" customHeight="false" outlineLevel="0" collapsed="false">
      <c r="A52" s="24"/>
      <c r="B52" s="22"/>
      <c r="C52" s="25" t="str">
        <f aca="false">IF(B52="","",IFERROR(INDEX(Request_Tracker!$B$6:$B$205,MATCH(B52,Request_Tracker!$A$6:$A$205,0)),"Req ID not found"))</f>
        <v/>
      </c>
      <c r="D52" s="22"/>
      <c r="E52" s="22"/>
      <c r="F52" s="22"/>
      <c r="G52" s="22"/>
      <c r="H52" s="23" t="str">
        <f aca="false">IF(E52&lt;&gt;"Fail","",IF(F52="Wrong recipient","ESCALATE: possible personal data breach - notify Team Lead / DPO immediately",IF(G52="No","Escalate to Team Lead - error not corrected","Logged - corrected before release")))</f>
        <v/>
      </c>
      <c r="I52" s="22"/>
    </row>
    <row r="53" customFormat="false" ht="15" hidden="false" customHeight="false" outlineLevel="0" collapsed="false">
      <c r="A53" s="24"/>
      <c r="B53" s="22"/>
      <c r="C53" s="25" t="str">
        <f aca="false">IF(B53="","",IFERROR(INDEX(Request_Tracker!$B$6:$B$205,MATCH(B53,Request_Tracker!$A$6:$A$205,0)),"Req ID not found"))</f>
        <v/>
      </c>
      <c r="D53" s="22"/>
      <c r="E53" s="22"/>
      <c r="F53" s="22"/>
      <c r="G53" s="22"/>
      <c r="H53" s="23" t="str">
        <f aca="false">IF(E53&lt;&gt;"Fail","",IF(F53="Wrong recipient","ESCALATE: possible personal data breach - notify Team Lead / DPO immediately",IF(G53="No","Escalate to Team Lead - error not corrected","Logged - corrected before release")))</f>
        <v/>
      </c>
      <c r="I53" s="22"/>
    </row>
    <row r="54" customFormat="false" ht="15" hidden="false" customHeight="false" outlineLevel="0" collapsed="false">
      <c r="A54" s="24"/>
      <c r="B54" s="22"/>
      <c r="C54" s="25" t="str">
        <f aca="false">IF(B54="","",IFERROR(INDEX(Request_Tracker!$B$6:$B$205,MATCH(B54,Request_Tracker!$A$6:$A$205,0)),"Req ID not found"))</f>
        <v/>
      </c>
      <c r="D54" s="22"/>
      <c r="E54" s="22"/>
      <c r="F54" s="22"/>
      <c r="G54" s="22"/>
      <c r="H54" s="23" t="str">
        <f aca="false">IF(E54&lt;&gt;"Fail","",IF(F54="Wrong recipient","ESCALATE: possible personal data breach - notify Team Lead / DPO immediately",IF(G54="No","Escalate to Team Lead - error not corrected","Logged - corrected before release")))</f>
        <v/>
      </c>
      <c r="I54" s="22"/>
    </row>
    <row r="55" customFormat="false" ht="15" hidden="false" customHeight="false" outlineLevel="0" collapsed="false">
      <c r="A55" s="24"/>
      <c r="B55" s="22"/>
      <c r="C55" s="25" t="str">
        <f aca="false">IF(B55="","",IFERROR(INDEX(Request_Tracker!$B$6:$B$205,MATCH(B55,Request_Tracker!$A$6:$A$205,0)),"Req ID not found"))</f>
        <v/>
      </c>
      <c r="D55" s="22"/>
      <c r="E55" s="22"/>
      <c r="F55" s="22"/>
      <c r="G55" s="22"/>
      <c r="H55" s="23" t="str">
        <f aca="false">IF(E55&lt;&gt;"Fail","",IF(F55="Wrong recipient","ESCALATE: possible personal data breach - notify Team Lead / DPO immediately",IF(G55="No","Escalate to Team Lead - error not corrected","Logged - corrected before release")))</f>
        <v/>
      </c>
      <c r="I55" s="22"/>
    </row>
    <row r="56" customFormat="false" ht="15" hidden="false" customHeight="false" outlineLevel="0" collapsed="false">
      <c r="A56" s="24"/>
      <c r="B56" s="22"/>
      <c r="C56" s="25" t="str">
        <f aca="false">IF(B56="","",IFERROR(INDEX(Request_Tracker!$B$6:$B$205,MATCH(B56,Request_Tracker!$A$6:$A$205,0)),"Req ID not found"))</f>
        <v/>
      </c>
      <c r="D56" s="22"/>
      <c r="E56" s="22"/>
      <c r="F56" s="22"/>
      <c r="G56" s="22"/>
      <c r="H56" s="23" t="str">
        <f aca="false">IF(E56&lt;&gt;"Fail","",IF(F56="Wrong recipient","ESCALATE: possible personal data breach - notify Team Lead / DPO immediately",IF(G56="No","Escalate to Team Lead - error not corrected","Logged - corrected before release")))</f>
        <v/>
      </c>
      <c r="I56" s="22"/>
    </row>
    <row r="57" customFormat="false" ht="15" hidden="false" customHeight="false" outlineLevel="0" collapsed="false">
      <c r="A57" s="24"/>
      <c r="B57" s="22"/>
      <c r="C57" s="25" t="str">
        <f aca="false">IF(B57="","",IFERROR(INDEX(Request_Tracker!$B$6:$B$205,MATCH(B57,Request_Tracker!$A$6:$A$205,0)),"Req ID not found"))</f>
        <v/>
      </c>
      <c r="D57" s="22"/>
      <c r="E57" s="22"/>
      <c r="F57" s="22"/>
      <c r="G57" s="22"/>
      <c r="H57" s="23" t="str">
        <f aca="false">IF(E57&lt;&gt;"Fail","",IF(F57="Wrong recipient","ESCALATE: possible personal data breach - notify Team Lead / DPO immediately",IF(G57="No","Escalate to Team Lead - error not corrected","Logged - corrected before release")))</f>
        <v/>
      </c>
      <c r="I57" s="22"/>
    </row>
    <row r="58" customFormat="false" ht="15" hidden="false" customHeight="false" outlineLevel="0" collapsed="false">
      <c r="A58" s="24"/>
      <c r="B58" s="22"/>
      <c r="C58" s="25" t="str">
        <f aca="false">IF(B58="","",IFERROR(INDEX(Request_Tracker!$B$6:$B$205,MATCH(B58,Request_Tracker!$A$6:$A$205,0)),"Req ID not found"))</f>
        <v/>
      </c>
      <c r="D58" s="22"/>
      <c r="E58" s="22"/>
      <c r="F58" s="22"/>
      <c r="G58" s="22"/>
      <c r="H58" s="23" t="str">
        <f aca="false">IF(E58&lt;&gt;"Fail","",IF(F58="Wrong recipient","ESCALATE: possible personal data breach - notify Team Lead / DPO immediately",IF(G58="No","Escalate to Team Lead - error not corrected","Logged - corrected before release")))</f>
        <v/>
      </c>
      <c r="I58" s="22"/>
    </row>
    <row r="59" customFormat="false" ht="15" hidden="false" customHeight="false" outlineLevel="0" collapsed="false">
      <c r="A59" s="24"/>
      <c r="B59" s="22"/>
      <c r="C59" s="25" t="str">
        <f aca="false">IF(B59="","",IFERROR(INDEX(Request_Tracker!$B$6:$B$205,MATCH(B59,Request_Tracker!$A$6:$A$205,0)),"Req ID not found"))</f>
        <v/>
      </c>
      <c r="D59" s="22"/>
      <c r="E59" s="22"/>
      <c r="F59" s="22"/>
      <c r="G59" s="22"/>
      <c r="H59" s="23" t="str">
        <f aca="false">IF(E59&lt;&gt;"Fail","",IF(F59="Wrong recipient","ESCALATE: possible personal data breach - notify Team Lead / DPO immediately",IF(G59="No","Escalate to Team Lead - error not corrected","Logged - corrected before release")))</f>
        <v/>
      </c>
      <c r="I59" s="22"/>
    </row>
    <row r="60" customFormat="false" ht="15" hidden="false" customHeight="false" outlineLevel="0" collapsed="false">
      <c r="A60" s="24"/>
      <c r="B60" s="22"/>
      <c r="C60" s="25" t="str">
        <f aca="false">IF(B60="","",IFERROR(INDEX(Request_Tracker!$B$6:$B$205,MATCH(B60,Request_Tracker!$A$6:$A$205,0)),"Req ID not found"))</f>
        <v/>
      </c>
      <c r="D60" s="22"/>
      <c r="E60" s="22"/>
      <c r="F60" s="22"/>
      <c r="G60" s="22"/>
      <c r="H60" s="23" t="str">
        <f aca="false">IF(E60&lt;&gt;"Fail","",IF(F60="Wrong recipient","ESCALATE: possible personal data breach - notify Team Lead / DPO immediately",IF(G60="No","Escalate to Team Lead - error not corrected","Logged - corrected before release")))</f>
        <v/>
      </c>
      <c r="I60" s="22"/>
    </row>
    <row r="61" customFormat="false" ht="15" hidden="false" customHeight="false" outlineLevel="0" collapsed="false">
      <c r="A61" s="24"/>
      <c r="B61" s="22"/>
      <c r="C61" s="25" t="str">
        <f aca="false">IF(B61="","",IFERROR(INDEX(Request_Tracker!$B$6:$B$205,MATCH(B61,Request_Tracker!$A$6:$A$205,0)),"Req ID not found"))</f>
        <v/>
      </c>
      <c r="D61" s="22"/>
      <c r="E61" s="22"/>
      <c r="F61" s="22"/>
      <c r="G61" s="22"/>
      <c r="H61" s="23" t="str">
        <f aca="false">IF(E61&lt;&gt;"Fail","",IF(F61="Wrong recipient","ESCALATE: possible personal data breach - notify Team Lead / DPO immediately",IF(G61="No","Escalate to Team Lead - error not corrected","Logged - corrected before release")))</f>
        <v/>
      </c>
      <c r="I61" s="22"/>
    </row>
    <row r="62" customFormat="false" ht="15" hidden="false" customHeight="false" outlineLevel="0" collapsed="false">
      <c r="A62" s="24"/>
      <c r="B62" s="22"/>
      <c r="C62" s="25" t="str">
        <f aca="false">IF(B62="","",IFERROR(INDEX(Request_Tracker!$B$6:$B$205,MATCH(B62,Request_Tracker!$A$6:$A$205,0)),"Req ID not found"))</f>
        <v/>
      </c>
      <c r="D62" s="22"/>
      <c r="E62" s="22"/>
      <c r="F62" s="22"/>
      <c r="G62" s="22"/>
      <c r="H62" s="23" t="str">
        <f aca="false">IF(E62&lt;&gt;"Fail","",IF(F62="Wrong recipient","ESCALATE: possible personal data breach - notify Team Lead / DPO immediately",IF(G62="No","Escalate to Team Lead - error not corrected","Logged - corrected before release")))</f>
        <v/>
      </c>
      <c r="I62" s="22"/>
    </row>
    <row r="63" customFormat="false" ht="15" hidden="false" customHeight="false" outlineLevel="0" collapsed="false">
      <c r="A63" s="24"/>
      <c r="B63" s="22"/>
      <c r="C63" s="25" t="str">
        <f aca="false">IF(B63="","",IFERROR(INDEX(Request_Tracker!$B$6:$B$205,MATCH(B63,Request_Tracker!$A$6:$A$205,0)),"Req ID not found"))</f>
        <v/>
      </c>
      <c r="D63" s="22"/>
      <c r="E63" s="22"/>
      <c r="F63" s="22"/>
      <c r="G63" s="22"/>
      <c r="H63" s="23" t="str">
        <f aca="false">IF(E63&lt;&gt;"Fail","",IF(F63="Wrong recipient","ESCALATE: possible personal data breach - notify Team Lead / DPO immediately",IF(G63="No","Escalate to Team Lead - error not corrected","Logged - corrected before release")))</f>
        <v/>
      </c>
      <c r="I63" s="22"/>
    </row>
    <row r="64" customFormat="false" ht="15" hidden="false" customHeight="false" outlineLevel="0" collapsed="false">
      <c r="A64" s="24"/>
      <c r="B64" s="22"/>
      <c r="C64" s="25" t="str">
        <f aca="false">IF(B64="","",IFERROR(INDEX(Request_Tracker!$B$6:$B$205,MATCH(B64,Request_Tracker!$A$6:$A$205,0)),"Req ID not found"))</f>
        <v/>
      </c>
      <c r="D64" s="22"/>
      <c r="E64" s="22"/>
      <c r="F64" s="22"/>
      <c r="G64" s="22"/>
      <c r="H64" s="23" t="str">
        <f aca="false">IF(E64&lt;&gt;"Fail","",IF(F64="Wrong recipient","ESCALATE: possible personal data breach - notify Team Lead / DPO immediately",IF(G64="No","Escalate to Team Lead - error not corrected","Logged - corrected before release")))</f>
        <v/>
      </c>
      <c r="I64" s="22"/>
    </row>
    <row r="65" customFormat="false" ht="15" hidden="false" customHeight="false" outlineLevel="0" collapsed="false">
      <c r="A65" s="24"/>
      <c r="B65" s="22"/>
      <c r="C65" s="25" t="str">
        <f aca="false">IF(B65="","",IFERROR(INDEX(Request_Tracker!$B$6:$B$205,MATCH(B65,Request_Tracker!$A$6:$A$205,0)),"Req ID not found"))</f>
        <v/>
      </c>
      <c r="D65" s="22"/>
      <c r="E65" s="22"/>
      <c r="F65" s="22"/>
      <c r="G65" s="22"/>
      <c r="H65" s="23" t="str">
        <f aca="false">IF(E65&lt;&gt;"Fail","",IF(F65="Wrong recipient","ESCALATE: possible personal data breach - notify Team Lead / DPO immediately",IF(G65="No","Escalate to Team Lead - error not corrected","Logged - corrected before release")))</f>
        <v/>
      </c>
      <c r="I65" s="22"/>
    </row>
    <row r="66" customFormat="false" ht="15" hidden="false" customHeight="false" outlineLevel="0" collapsed="false">
      <c r="A66" s="24"/>
      <c r="B66" s="22"/>
      <c r="C66" s="25" t="str">
        <f aca="false">IF(B66="","",IFERROR(INDEX(Request_Tracker!$B$6:$B$205,MATCH(B66,Request_Tracker!$A$6:$A$205,0)),"Req ID not found"))</f>
        <v/>
      </c>
      <c r="D66" s="22"/>
      <c r="E66" s="22"/>
      <c r="F66" s="22"/>
      <c r="G66" s="22"/>
      <c r="H66" s="23" t="str">
        <f aca="false">IF(E66&lt;&gt;"Fail","",IF(F66="Wrong recipient","ESCALATE: possible personal data breach - notify Team Lead / DPO immediately",IF(G66="No","Escalate to Team Lead - error not corrected","Logged - corrected before release")))</f>
        <v/>
      </c>
      <c r="I66" s="22"/>
    </row>
    <row r="67" customFormat="false" ht="15" hidden="false" customHeight="false" outlineLevel="0" collapsed="false">
      <c r="A67" s="24"/>
      <c r="B67" s="22"/>
      <c r="C67" s="25" t="str">
        <f aca="false">IF(B67="","",IFERROR(INDEX(Request_Tracker!$B$6:$B$205,MATCH(B67,Request_Tracker!$A$6:$A$205,0)),"Req ID not found"))</f>
        <v/>
      </c>
      <c r="D67" s="22"/>
      <c r="E67" s="22"/>
      <c r="F67" s="22"/>
      <c r="G67" s="22"/>
      <c r="H67" s="23" t="str">
        <f aca="false">IF(E67&lt;&gt;"Fail","",IF(F67="Wrong recipient","ESCALATE: possible personal data breach - notify Team Lead / DPO immediately",IF(G67="No","Escalate to Team Lead - error not corrected","Logged - corrected before release")))</f>
        <v/>
      </c>
      <c r="I67" s="22"/>
    </row>
    <row r="68" customFormat="false" ht="15" hidden="false" customHeight="false" outlineLevel="0" collapsed="false">
      <c r="A68" s="24"/>
      <c r="B68" s="22"/>
      <c r="C68" s="25" t="str">
        <f aca="false">IF(B68="","",IFERROR(INDEX(Request_Tracker!$B$6:$B$205,MATCH(B68,Request_Tracker!$A$6:$A$205,0)),"Req ID not found"))</f>
        <v/>
      </c>
      <c r="D68" s="22"/>
      <c r="E68" s="22"/>
      <c r="F68" s="22"/>
      <c r="G68" s="22"/>
      <c r="H68" s="23" t="str">
        <f aca="false">IF(E68&lt;&gt;"Fail","",IF(F68="Wrong recipient","ESCALATE: possible personal data breach - notify Team Lead / DPO immediately",IF(G68="No","Escalate to Team Lead - error not corrected","Logged - corrected before release")))</f>
        <v/>
      </c>
      <c r="I68" s="22"/>
    </row>
    <row r="69" customFormat="false" ht="15" hidden="false" customHeight="false" outlineLevel="0" collapsed="false">
      <c r="A69" s="24"/>
      <c r="B69" s="22"/>
      <c r="C69" s="25" t="str">
        <f aca="false">IF(B69="","",IFERROR(INDEX(Request_Tracker!$B$6:$B$205,MATCH(B69,Request_Tracker!$A$6:$A$205,0)),"Req ID not found"))</f>
        <v/>
      </c>
      <c r="D69" s="22"/>
      <c r="E69" s="22"/>
      <c r="F69" s="22"/>
      <c r="G69" s="22"/>
      <c r="H69" s="23" t="str">
        <f aca="false">IF(E69&lt;&gt;"Fail","",IF(F69="Wrong recipient","ESCALATE: possible personal data breach - notify Team Lead / DPO immediately",IF(G69="No","Escalate to Team Lead - error not corrected","Logged - corrected before release")))</f>
        <v/>
      </c>
      <c r="I69" s="22"/>
    </row>
    <row r="70" customFormat="false" ht="15" hidden="false" customHeight="false" outlineLevel="0" collapsed="false">
      <c r="A70" s="24"/>
      <c r="B70" s="22"/>
      <c r="C70" s="25" t="str">
        <f aca="false">IF(B70="","",IFERROR(INDEX(Request_Tracker!$B$6:$B$205,MATCH(B70,Request_Tracker!$A$6:$A$205,0)),"Req ID not found"))</f>
        <v/>
      </c>
      <c r="D70" s="22"/>
      <c r="E70" s="22"/>
      <c r="F70" s="22"/>
      <c r="G70" s="22"/>
      <c r="H70" s="23" t="str">
        <f aca="false">IF(E70&lt;&gt;"Fail","",IF(F70="Wrong recipient","ESCALATE: possible personal data breach - notify Team Lead / DPO immediately",IF(G70="No","Escalate to Team Lead - error not corrected","Logged - corrected before release")))</f>
        <v/>
      </c>
      <c r="I70" s="22"/>
    </row>
    <row r="71" customFormat="false" ht="15" hidden="false" customHeight="false" outlineLevel="0" collapsed="false">
      <c r="A71" s="24"/>
      <c r="B71" s="22"/>
      <c r="C71" s="25" t="str">
        <f aca="false">IF(B71="","",IFERROR(INDEX(Request_Tracker!$B$6:$B$205,MATCH(B71,Request_Tracker!$A$6:$A$205,0)),"Req ID not found"))</f>
        <v/>
      </c>
      <c r="D71" s="22"/>
      <c r="E71" s="22"/>
      <c r="F71" s="22"/>
      <c r="G71" s="22"/>
      <c r="H71" s="23" t="str">
        <f aca="false">IF(E71&lt;&gt;"Fail","",IF(F71="Wrong recipient","ESCALATE: possible personal data breach - notify Team Lead / DPO immediately",IF(G71="No","Escalate to Team Lead - error not corrected","Logged - corrected before release")))</f>
        <v/>
      </c>
      <c r="I71" s="22"/>
    </row>
    <row r="72" customFormat="false" ht="15" hidden="false" customHeight="false" outlineLevel="0" collapsed="false">
      <c r="A72" s="24"/>
      <c r="B72" s="22"/>
      <c r="C72" s="25" t="str">
        <f aca="false">IF(B72="","",IFERROR(INDEX(Request_Tracker!$B$6:$B$205,MATCH(B72,Request_Tracker!$A$6:$A$205,0)),"Req ID not found"))</f>
        <v/>
      </c>
      <c r="D72" s="22"/>
      <c r="E72" s="22"/>
      <c r="F72" s="22"/>
      <c r="G72" s="22"/>
      <c r="H72" s="23" t="str">
        <f aca="false">IF(E72&lt;&gt;"Fail","",IF(F72="Wrong recipient","ESCALATE: possible personal data breach - notify Team Lead / DPO immediately",IF(G72="No","Escalate to Team Lead - error not corrected","Logged - corrected before release")))</f>
        <v/>
      </c>
      <c r="I72" s="22"/>
    </row>
    <row r="73" customFormat="false" ht="15" hidden="false" customHeight="false" outlineLevel="0" collapsed="false">
      <c r="A73" s="24"/>
      <c r="B73" s="22"/>
      <c r="C73" s="25" t="str">
        <f aca="false">IF(B73="","",IFERROR(INDEX(Request_Tracker!$B$6:$B$205,MATCH(B73,Request_Tracker!$A$6:$A$205,0)),"Req ID not found"))</f>
        <v/>
      </c>
      <c r="D73" s="22"/>
      <c r="E73" s="22"/>
      <c r="F73" s="22"/>
      <c r="G73" s="22"/>
      <c r="H73" s="23" t="str">
        <f aca="false">IF(E73&lt;&gt;"Fail","",IF(F73="Wrong recipient","ESCALATE: possible personal data breach - notify Team Lead / DPO immediately",IF(G73="No","Escalate to Team Lead - error not corrected","Logged - corrected before release")))</f>
        <v/>
      </c>
      <c r="I73" s="22"/>
    </row>
    <row r="74" customFormat="false" ht="15" hidden="false" customHeight="false" outlineLevel="0" collapsed="false">
      <c r="A74" s="24"/>
      <c r="B74" s="22"/>
      <c r="C74" s="25" t="str">
        <f aca="false">IF(B74="","",IFERROR(INDEX(Request_Tracker!$B$6:$B$205,MATCH(B74,Request_Tracker!$A$6:$A$205,0)),"Req ID not found"))</f>
        <v/>
      </c>
      <c r="D74" s="22"/>
      <c r="E74" s="22"/>
      <c r="F74" s="22"/>
      <c r="G74" s="22"/>
      <c r="H74" s="23" t="str">
        <f aca="false">IF(E74&lt;&gt;"Fail","",IF(F74="Wrong recipient","ESCALATE: possible personal data breach - notify Team Lead / DPO immediately",IF(G74="No","Escalate to Team Lead - error not corrected","Logged - corrected before release")))</f>
        <v/>
      </c>
      <c r="I74" s="22"/>
    </row>
    <row r="75" customFormat="false" ht="15" hidden="false" customHeight="false" outlineLevel="0" collapsed="false">
      <c r="A75" s="24"/>
      <c r="B75" s="22"/>
      <c r="C75" s="25" t="str">
        <f aca="false">IF(B75="","",IFERROR(INDEX(Request_Tracker!$B$6:$B$205,MATCH(B75,Request_Tracker!$A$6:$A$205,0)),"Req ID not found"))</f>
        <v/>
      </c>
      <c r="D75" s="22"/>
      <c r="E75" s="22"/>
      <c r="F75" s="22"/>
      <c r="G75" s="22"/>
      <c r="H75" s="23" t="str">
        <f aca="false">IF(E75&lt;&gt;"Fail","",IF(F75="Wrong recipient","ESCALATE: possible personal data breach - notify Team Lead / DPO immediately",IF(G75="No","Escalate to Team Lead - error not corrected","Logged - corrected before release")))</f>
        <v/>
      </c>
      <c r="I75" s="22"/>
    </row>
    <row r="76" customFormat="false" ht="15" hidden="false" customHeight="false" outlineLevel="0" collapsed="false">
      <c r="A76" s="24"/>
      <c r="B76" s="22"/>
      <c r="C76" s="25" t="str">
        <f aca="false">IF(B76="","",IFERROR(INDEX(Request_Tracker!$B$6:$B$205,MATCH(B76,Request_Tracker!$A$6:$A$205,0)),"Req ID not found"))</f>
        <v/>
      </c>
      <c r="D76" s="22"/>
      <c r="E76" s="22"/>
      <c r="F76" s="22"/>
      <c r="G76" s="22"/>
      <c r="H76" s="23" t="str">
        <f aca="false">IF(E76&lt;&gt;"Fail","",IF(F76="Wrong recipient","ESCALATE: possible personal data breach - notify Team Lead / DPO immediately",IF(G76="No","Escalate to Team Lead - error not corrected","Logged - corrected before release")))</f>
        <v/>
      </c>
      <c r="I76" s="22"/>
    </row>
    <row r="77" customFormat="false" ht="15" hidden="false" customHeight="false" outlineLevel="0" collapsed="false">
      <c r="A77" s="24"/>
      <c r="B77" s="22"/>
      <c r="C77" s="25" t="str">
        <f aca="false">IF(B77="","",IFERROR(INDEX(Request_Tracker!$B$6:$B$205,MATCH(B77,Request_Tracker!$A$6:$A$205,0)),"Req ID not found"))</f>
        <v/>
      </c>
      <c r="D77" s="22"/>
      <c r="E77" s="22"/>
      <c r="F77" s="22"/>
      <c r="G77" s="22"/>
      <c r="H77" s="23" t="str">
        <f aca="false">IF(E77&lt;&gt;"Fail","",IF(F77="Wrong recipient","ESCALATE: possible personal data breach - notify Team Lead / DPO immediately",IF(G77="No","Escalate to Team Lead - error not corrected","Logged - corrected before release")))</f>
        <v/>
      </c>
      <c r="I77" s="22"/>
    </row>
    <row r="78" customFormat="false" ht="15" hidden="false" customHeight="false" outlineLevel="0" collapsed="false">
      <c r="A78" s="24"/>
      <c r="B78" s="22"/>
      <c r="C78" s="25" t="str">
        <f aca="false">IF(B78="","",IFERROR(INDEX(Request_Tracker!$B$6:$B$205,MATCH(B78,Request_Tracker!$A$6:$A$205,0)),"Req ID not found"))</f>
        <v/>
      </c>
      <c r="D78" s="22"/>
      <c r="E78" s="22"/>
      <c r="F78" s="22"/>
      <c r="G78" s="22"/>
      <c r="H78" s="23" t="str">
        <f aca="false">IF(E78&lt;&gt;"Fail","",IF(F78="Wrong recipient","ESCALATE: possible personal data breach - notify Team Lead / DPO immediately",IF(G78="No","Escalate to Team Lead - error not corrected","Logged - corrected before release")))</f>
        <v/>
      </c>
      <c r="I78" s="22"/>
    </row>
    <row r="79" customFormat="false" ht="15" hidden="false" customHeight="false" outlineLevel="0" collapsed="false">
      <c r="A79" s="24"/>
      <c r="B79" s="22"/>
      <c r="C79" s="25" t="str">
        <f aca="false">IF(B79="","",IFERROR(INDEX(Request_Tracker!$B$6:$B$205,MATCH(B79,Request_Tracker!$A$6:$A$205,0)),"Req ID not found"))</f>
        <v/>
      </c>
      <c r="D79" s="22"/>
      <c r="E79" s="22"/>
      <c r="F79" s="22"/>
      <c r="G79" s="22"/>
      <c r="H79" s="23" t="str">
        <f aca="false">IF(E79&lt;&gt;"Fail","",IF(F79="Wrong recipient","ESCALATE: possible personal data breach - notify Team Lead / DPO immediately",IF(G79="No","Escalate to Team Lead - error not corrected","Logged - corrected before release")))</f>
        <v/>
      </c>
      <c r="I79" s="22"/>
    </row>
    <row r="80" customFormat="false" ht="15" hidden="false" customHeight="false" outlineLevel="0" collapsed="false">
      <c r="A80" s="24"/>
      <c r="B80" s="22"/>
      <c r="C80" s="25" t="str">
        <f aca="false">IF(B80="","",IFERROR(INDEX(Request_Tracker!$B$6:$B$205,MATCH(B80,Request_Tracker!$A$6:$A$205,0)),"Req ID not found"))</f>
        <v/>
      </c>
      <c r="D80" s="22"/>
      <c r="E80" s="22"/>
      <c r="F80" s="22"/>
      <c r="G80" s="22"/>
      <c r="H80" s="23" t="str">
        <f aca="false">IF(E80&lt;&gt;"Fail","",IF(F80="Wrong recipient","ESCALATE: possible personal data breach - notify Team Lead / DPO immediately",IF(G80="No","Escalate to Team Lead - error not corrected","Logged - corrected before release")))</f>
        <v/>
      </c>
      <c r="I80" s="22"/>
    </row>
    <row r="81" customFormat="false" ht="15" hidden="false" customHeight="false" outlineLevel="0" collapsed="false">
      <c r="A81" s="24"/>
      <c r="B81" s="22"/>
      <c r="C81" s="25" t="str">
        <f aca="false">IF(B81="","",IFERROR(INDEX(Request_Tracker!$B$6:$B$205,MATCH(B81,Request_Tracker!$A$6:$A$205,0)),"Req ID not found"))</f>
        <v/>
      </c>
      <c r="D81" s="22"/>
      <c r="E81" s="22"/>
      <c r="F81" s="22"/>
      <c r="G81" s="22"/>
      <c r="H81" s="23" t="str">
        <f aca="false">IF(E81&lt;&gt;"Fail","",IF(F81="Wrong recipient","ESCALATE: possible personal data breach - notify Team Lead / DPO immediately",IF(G81="No","Escalate to Team Lead - error not corrected","Logged - corrected before release")))</f>
        <v/>
      </c>
      <c r="I81" s="22"/>
    </row>
    <row r="82" customFormat="false" ht="15" hidden="false" customHeight="false" outlineLevel="0" collapsed="false">
      <c r="A82" s="24"/>
      <c r="B82" s="22"/>
      <c r="C82" s="25" t="str">
        <f aca="false">IF(B82="","",IFERROR(INDEX(Request_Tracker!$B$6:$B$205,MATCH(B82,Request_Tracker!$A$6:$A$205,0)),"Req ID not found"))</f>
        <v/>
      </c>
      <c r="D82" s="22"/>
      <c r="E82" s="22"/>
      <c r="F82" s="22"/>
      <c r="G82" s="22"/>
      <c r="H82" s="23" t="str">
        <f aca="false">IF(E82&lt;&gt;"Fail","",IF(F82="Wrong recipient","ESCALATE: possible personal data breach - notify Team Lead / DPO immediately",IF(G82="No","Escalate to Team Lead - error not corrected","Logged - corrected before release")))</f>
        <v/>
      </c>
      <c r="I82" s="22"/>
    </row>
    <row r="83" customFormat="false" ht="15" hidden="false" customHeight="false" outlineLevel="0" collapsed="false">
      <c r="A83" s="24"/>
      <c r="B83" s="22"/>
      <c r="C83" s="25" t="str">
        <f aca="false">IF(B83="","",IFERROR(INDEX(Request_Tracker!$B$6:$B$205,MATCH(B83,Request_Tracker!$A$6:$A$205,0)),"Req ID not found"))</f>
        <v/>
      </c>
      <c r="D83" s="22"/>
      <c r="E83" s="22"/>
      <c r="F83" s="22"/>
      <c r="G83" s="22"/>
      <c r="H83" s="23" t="str">
        <f aca="false">IF(E83&lt;&gt;"Fail","",IF(F83="Wrong recipient","ESCALATE: possible personal data breach - notify Team Lead / DPO immediately",IF(G83="No","Escalate to Team Lead - error not corrected","Logged - corrected before release")))</f>
        <v/>
      </c>
      <c r="I83" s="22"/>
    </row>
    <row r="84" customFormat="false" ht="15" hidden="false" customHeight="false" outlineLevel="0" collapsed="false">
      <c r="A84" s="24"/>
      <c r="B84" s="22"/>
      <c r="C84" s="25" t="str">
        <f aca="false">IF(B84="","",IFERROR(INDEX(Request_Tracker!$B$6:$B$205,MATCH(B84,Request_Tracker!$A$6:$A$205,0)),"Req ID not found"))</f>
        <v/>
      </c>
      <c r="D84" s="22"/>
      <c r="E84" s="22"/>
      <c r="F84" s="22"/>
      <c r="G84" s="22"/>
      <c r="H84" s="23" t="str">
        <f aca="false">IF(E84&lt;&gt;"Fail","",IF(F84="Wrong recipient","ESCALATE: possible personal data breach - notify Team Lead / DPO immediately",IF(G84="No","Escalate to Team Lead - error not corrected","Logged - corrected before release")))</f>
        <v/>
      </c>
      <c r="I84" s="22"/>
    </row>
    <row r="85" customFormat="false" ht="15" hidden="false" customHeight="false" outlineLevel="0" collapsed="false">
      <c r="A85" s="24"/>
      <c r="B85" s="22"/>
      <c r="C85" s="25" t="str">
        <f aca="false">IF(B85="","",IFERROR(INDEX(Request_Tracker!$B$6:$B$205,MATCH(B85,Request_Tracker!$A$6:$A$205,0)),"Req ID not found"))</f>
        <v/>
      </c>
      <c r="D85" s="22"/>
      <c r="E85" s="22"/>
      <c r="F85" s="22"/>
      <c r="G85" s="22"/>
      <c r="H85" s="23" t="str">
        <f aca="false">IF(E85&lt;&gt;"Fail","",IF(F85="Wrong recipient","ESCALATE: possible personal data breach - notify Team Lead / DPO immediately",IF(G85="No","Escalate to Team Lead - error not corrected","Logged - corrected before release")))</f>
        <v/>
      </c>
      <c r="I85" s="22"/>
    </row>
    <row r="86" customFormat="false" ht="15" hidden="false" customHeight="false" outlineLevel="0" collapsed="false">
      <c r="A86" s="24"/>
      <c r="B86" s="22"/>
      <c r="C86" s="25" t="str">
        <f aca="false">IF(B86="","",IFERROR(INDEX(Request_Tracker!$B$6:$B$205,MATCH(B86,Request_Tracker!$A$6:$A$205,0)),"Req ID not found"))</f>
        <v/>
      </c>
      <c r="D86" s="22"/>
      <c r="E86" s="22"/>
      <c r="F86" s="22"/>
      <c r="G86" s="22"/>
      <c r="H86" s="23" t="str">
        <f aca="false">IF(E86&lt;&gt;"Fail","",IF(F86="Wrong recipient","ESCALATE: possible personal data breach - notify Team Lead / DPO immediately",IF(G86="No","Escalate to Team Lead - error not corrected","Logged - corrected before release")))</f>
        <v/>
      </c>
      <c r="I86" s="22"/>
    </row>
    <row r="87" customFormat="false" ht="15" hidden="false" customHeight="false" outlineLevel="0" collapsed="false">
      <c r="A87" s="24"/>
      <c r="B87" s="22"/>
      <c r="C87" s="25" t="str">
        <f aca="false">IF(B87="","",IFERROR(INDEX(Request_Tracker!$B$6:$B$205,MATCH(B87,Request_Tracker!$A$6:$A$205,0)),"Req ID not found"))</f>
        <v/>
      </c>
      <c r="D87" s="22"/>
      <c r="E87" s="22"/>
      <c r="F87" s="22"/>
      <c r="G87" s="22"/>
      <c r="H87" s="23" t="str">
        <f aca="false">IF(E87&lt;&gt;"Fail","",IF(F87="Wrong recipient","ESCALATE: possible personal data breach - notify Team Lead / DPO immediately",IF(G87="No","Escalate to Team Lead - error not corrected","Logged - corrected before release")))</f>
        <v/>
      </c>
      <c r="I87" s="22"/>
    </row>
    <row r="88" customFormat="false" ht="15" hidden="false" customHeight="false" outlineLevel="0" collapsed="false">
      <c r="A88" s="24"/>
      <c r="B88" s="22"/>
      <c r="C88" s="25" t="str">
        <f aca="false">IF(B88="","",IFERROR(INDEX(Request_Tracker!$B$6:$B$205,MATCH(B88,Request_Tracker!$A$6:$A$205,0)),"Req ID not found"))</f>
        <v/>
      </c>
      <c r="D88" s="22"/>
      <c r="E88" s="22"/>
      <c r="F88" s="22"/>
      <c r="G88" s="22"/>
      <c r="H88" s="23" t="str">
        <f aca="false">IF(E88&lt;&gt;"Fail","",IF(F88="Wrong recipient","ESCALATE: possible personal data breach - notify Team Lead / DPO immediately",IF(G88="No","Escalate to Team Lead - error not corrected","Logged - corrected before release")))</f>
        <v/>
      </c>
      <c r="I88" s="22"/>
    </row>
    <row r="89" customFormat="false" ht="15" hidden="false" customHeight="false" outlineLevel="0" collapsed="false">
      <c r="A89" s="24"/>
      <c r="B89" s="22"/>
      <c r="C89" s="25" t="str">
        <f aca="false">IF(B89="","",IFERROR(INDEX(Request_Tracker!$B$6:$B$205,MATCH(B89,Request_Tracker!$A$6:$A$205,0)),"Req ID not found"))</f>
        <v/>
      </c>
      <c r="D89" s="22"/>
      <c r="E89" s="22"/>
      <c r="F89" s="22"/>
      <c r="G89" s="22"/>
      <c r="H89" s="23" t="str">
        <f aca="false">IF(E89&lt;&gt;"Fail","",IF(F89="Wrong recipient","ESCALATE: possible personal data breach - notify Team Lead / DPO immediately",IF(G89="No","Escalate to Team Lead - error not corrected","Logged - corrected before release")))</f>
        <v/>
      </c>
      <c r="I89" s="22"/>
    </row>
    <row r="90" customFormat="false" ht="15" hidden="false" customHeight="false" outlineLevel="0" collapsed="false">
      <c r="A90" s="24"/>
      <c r="B90" s="22"/>
      <c r="C90" s="25" t="str">
        <f aca="false">IF(B90="","",IFERROR(INDEX(Request_Tracker!$B$6:$B$205,MATCH(B90,Request_Tracker!$A$6:$A$205,0)),"Req ID not found"))</f>
        <v/>
      </c>
      <c r="D90" s="22"/>
      <c r="E90" s="22"/>
      <c r="F90" s="22"/>
      <c r="G90" s="22"/>
      <c r="H90" s="23" t="str">
        <f aca="false">IF(E90&lt;&gt;"Fail","",IF(F90="Wrong recipient","ESCALATE: possible personal data breach - notify Team Lead / DPO immediately",IF(G90="No","Escalate to Team Lead - error not corrected","Logged - corrected before release")))</f>
        <v/>
      </c>
      <c r="I90" s="22"/>
    </row>
    <row r="91" customFormat="false" ht="15" hidden="false" customHeight="false" outlineLevel="0" collapsed="false">
      <c r="A91" s="24"/>
      <c r="B91" s="22"/>
      <c r="C91" s="25" t="str">
        <f aca="false">IF(B91="","",IFERROR(INDEX(Request_Tracker!$B$6:$B$205,MATCH(B91,Request_Tracker!$A$6:$A$205,0)),"Req ID not found"))</f>
        <v/>
      </c>
      <c r="D91" s="22"/>
      <c r="E91" s="22"/>
      <c r="F91" s="22"/>
      <c r="G91" s="22"/>
      <c r="H91" s="23" t="str">
        <f aca="false">IF(E91&lt;&gt;"Fail","",IF(F91="Wrong recipient","ESCALATE: possible personal data breach - notify Team Lead / DPO immediately",IF(G91="No","Escalate to Team Lead - error not corrected","Logged - corrected before release")))</f>
        <v/>
      </c>
      <c r="I91" s="22"/>
    </row>
    <row r="92" customFormat="false" ht="15" hidden="false" customHeight="false" outlineLevel="0" collapsed="false">
      <c r="A92" s="24"/>
      <c r="B92" s="22"/>
      <c r="C92" s="25" t="str">
        <f aca="false">IF(B92="","",IFERROR(INDEX(Request_Tracker!$B$6:$B$205,MATCH(B92,Request_Tracker!$A$6:$A$205,0)),"Req ID not found"))</f>
        <v/>
      </c>
      <c r="D92" s="22"/>
      <c r="E92" s="22"/>
      <c r="F92" s="22"/>
      <c r="G92" s="22"/>
      <c r="H92" s="23" t="str">
        <f aca="false">IF(E92&lt;&gt;"Fail","",IF(F92="Wrong recipient","ESCALATE: possible personal data breach - notify Team Lead / DPO immediately",IF(G92="No","Escalate to Team Lead - error not corrected","Logged - corrected before release")))</f>
        <v/>
      </c>
      <c r="I92" s="22"/>
    </row>
    <row r="93" customFormat="false" ht="15" hidden="false" customHeight="false" outlineLevel="0" collapsed="false">
      <c r="A93" s="24"/>
      <c r="B93" s="22"/>
      <c r="C93" s="25" t="str">
        <f aca="false">IF(B93="","",IFERROR(INDEX(Request_Tracker!$B$6:$B$205,MATCH(B93,Request_Tracker!$A$6:$A$205,0)),"Req ID not found"))</f>
        <v/>
      </c>
      <c r="D93" s="22"/>
      <c r="E93" s="22"/>
      <c r="F93" s="22"/>
      <c r="G93" s="22"/>
      <c r="H93" s="23" t="str">
        <f aca="false">IF(E93&lt;&gt;"Fail","",IF(F93="Wrong recipient","ESCALATE: possible personal data breach - notify Team Lead / DPO immediately",IF(G93="No","Escalate to Team Lead - error not corrected","Logged - corrected before release")))</f>
        <v/>
      </c>
      <c r="I93" s="22"/>
    </row>
    <row r="94" customFormat="false" ht="15" hidden="false" customHeight="false" outlineLevel="0" collapsed="false">
      <c r="A94" s="24"/>
      <c r="B94" s="22"/>
      <c r="C94" s="25" t="str">
        <f aca="false">IF(B94="","",IFERROR(INDEX(Request_Tracker!$B$6:$B$205,MATCH(B94,Request_Tracker!$A$6:$A$205,0)),"Req ID not found"))</f>
        <v/>
      </c>
      <c r="D94" s="22"/>
      <c r="E94" s="22"/>
      <c r="F94" s="22"/>
      <c r="G94" s="22"/>
      <c r="H94" s="23" t="str">
        <f aca="false">IF(E94&lt;&gt;"Fail","",IF(F94="Wrong recipient","ESCALATE: possible personal data breach - notify Team Lead / DPO immediately",IF(G94="No","Escalate to Team Lead - error not corrected","Logged - corrected before release")))</f>
        <v/>
      </c>
      <c r="I94" s="22"/>
    </row>
    <row r="95" customFormat="false" ht="15" hidden="false" customHeight="false" outlineLevel="0" collapsed="false">
      <c r="A95" s="24"/>
      <c r="B95" s="22"/>
      <c r="C95" s="25" t="str">
        <f aca="false">IF(B95="","",IFERROR(INDEX(Request_Tracker!$B$6:$B$205,MATCH(B95,Request_Tracker!$A$6:$A$205,0)),"Req ID not found"))</f>
        <v/>
      </c>
      <c r="D95" s="22"/>
      <c r="E95" s="22"/>
      <c r="F95" s="22"/>
      <c r="G95" s="22"/>
      <c r="H95" s="23" t="str">
        <f aca="false">IF(E95&lt;&gt;"Fail","",IF(F95="Wrong recipient","ESCALATE: possible personal data breach - notify Team Lead / DPO immediately",IF(G95="No","Escalate to Team Lead - error not corrected","Logged - corrected before release")))</f>
        <v/>
      </c>
      <c r="I95" s="22"/>
    </row>
    <row r="96" customFormat="false" ht="15" hidden="false" customHeight="false" outlineLevel="0" collapsed="false">
      <c r="A96" s="24"/>
      <c r="B96" s="22"/>
      <c r="C96" s="25" t="str">
        <f aca="false">IF(B96="","",IFERROR(INDEX(Request_Tracker!$B$6:$B$205,MATCH(B96,Request_Tracker!$A$6:$A$205,0)),"Req ID not found"))</f>
        <v/>
      </c>
      <c r="D96" s="22"/>
      <c r="E96" s="22"/>
      <c r="F96" s="22"/>
      <c r="G96" s="22"/>
      <c r="H96" s="23" t="str">
        <f aca="false">IF(E96&lt;&gt;"Fail","",IF(F96="Wrong recipient","ESCALATE: possible personal data breach - notify Team Lead / DPO immediately",IF(G96="No","Escalate to Team Lead - error not corrected","Logged - corrected before release")))</f>
        <v/>
      </c>
      <c r="I96" s="22"/>
    </row>
    <row r="97" customFormat="false" ht="15" hidden="false" customHeight="false" outlineLevel="0" collapsed="false">
      <c r="A97" s="24"/>
      <c r="B97" s="22"/>
      <c r="C97" s="25" t="str">
        <f aca="false">IF(B97="","",IFERROR(INDEX(Request_Tracker!$B$6:$B$205,MATCH(B97,Request_Tracker!$A$6:$A$205,0)),"Req ID not found"))</f>
        <v/>
      </c>
      <c r="D97" s="22"/>
      <c r="E97" s="22"/>
      <c r="F97" s="22"/>
      <c r="G97" s="22"/>
      <c r="H97" s="23" t="str">
        <f aca="false">IF(E97&lt;&gt;"Fail","",IF(F97="Wrong recipient","ESCALATE: possible personal data breach - notify Team Lead / DPO immediately",IF(G97="No","Escalate to Team Lead - error not corrected","Logged - corrected before release")))</f>
        <v/>
      </c>
      <c r="I97" s="22"/>
    </row>
    <row r="98" customFormat="false" ht="15" hidden="false" customHeight="false" outlineLevel="0" collapsed="false">
      <c r="A98" s="24"/>
      <c r="B98" s="22"/>
      <c r="C98" s="25" t="str">
        <f aca="false">IF(B98="","",IFERROR(INDEX(Request_Tracker!$B$6:$B$205,MATCH(B98,Request_Tracker!$A$6:$A$205,0)),"Req ID not found"))</f>
        <v/>
      </c>
      <c r="D98" s="22"/>
      <c r="E98" s="22"/>
      <c r="F98" s="22"/>
      <c r="G98" s="22"/>
      <c r="H98" s="23" t="str">
        <f aca="false">IF(E98&lt;&gt;"Fail","",IF(F98="Wrong recipient","ESCALATE: possible personal data breach - notify Team Lead / DPO immediately",IF(G98="No","Escalate to Team Lead - error not corrected","Logged - corrected before release")))</f>
        <v/>
      </c>
      <c r="I98" s="22"/>
    </row>
    <row r="99" customFormat="false" ht="15" hidden="false" customHeight="false" outlineLevel="0" collapsed="false">
      <c r="A99" s="24"/>
      <c r="B99" s="22"/>
      <c r="C99" s="25" t="str">
        <f aca="false">IF(B99="","",IFERROR(INDEX(Request_Tracker!$B$6:$B$205,MATCH(B99,Request_Tracker!$A$6:$A$205,0)),"Req ID not found"))</f>
        <v/>
      </c>
      <c r="D99" s="22"/>
      <c r="E99" s="22"/>
      <c r="F99" s="22"/>
      <c r="G99" s="22"/>
      <c r="H99" s="23" t="str">
        <f aca="false">IF(E99&lt;&gt;"Fail","",IF(F99="Wrong recipient","ESCALATE: possible personal data breach - notify Team Lead / DPO immediately",IF(G99="No","Escalate to Team Lead - error not corrected","Logged - corrected before release")))</f>
        <v/>
      </c>
      <c r="I99" s="22"/>
    </row>
    <row r="100" customFormat="false" ht="15" hidden="false" customHeight="false" outlineLevel="0" collapsed="false">
      <c r="A100" s="24"/>
      <c r="B100" s="22"/>
      <c r="C100" s="25" t="str">
        <f aca="false">IF(B100="","",IFERROR(INDEX(Request_Tracker!$B$6:$B$205,MATCH(B100,Request_Tracker!$A$6:$A$205,0)),"Req ID not found"))</f>
        <v/>
      </c>
      <c r="D100" s="22"/>
      <c r="E100" s="22"/>
      <c r="F100" s="22"/>
      <c r="G100" s="22"/>
      <c r="H100" s="23" t="str">
        <f aca="false">IF(E100&lt;&gt;"Fail","",IF(F100="Wrong recipient","ESCALATE: possible personal data breach - notify Team Lead / DPO immediately",IF(G100="No","Escalate to Team Lead - error not corrected","Logged - corrected before release")))</f>
        <v/>
      </c>
      <c r="I100" s="22"/>
    </row>
    <row r="101" customFormat="false" ht="15" hidden="false" customHeight="false" outlineLevel="0" collapsed="false">
      <c r="A101" s="24"/>
      <c r="B101" s="22"/>
      <c r="C101" s="25" t="str">
        <f aca="false">IF(B101="","",IFERROR(INDEX(Request_Tracker!$B$6:$B$205,MATCH(B101,Request_Tracker!$A$6:$A$205,0)),"Req ID not found"))</f>
        <v/>
      </c>
      <c r="D101" s="22"/>
      <c r="E101" s="22"/>
      <c r="F101" s="22"/>
      <c r="G101" s="22"/>
      <c r="H101" s="23" t="str">
        <f aca="false">IF(E101&lt;&gt;"Fail","",IF(F101="Wrong recipient","ESCALATE: possible personal data breach - notify Team Lead / DPO immediately",IF(G101="No","Escalate to Team Lead - error not corrected","Logged - corrected before release")))</f>
        <v/>
      </c>
      <c r="I101" s="22"/>
    </row>
    <row r="102" customFormat="false" ht="15" hidden="false" customHeight="false" outlineLevel="0" collapsed="false">
      <c r="A102" s="24"/>
      <c r="B102" s="22"/>
      <c r="C102" s="25" t="str">
        <f aca="false">IF(B102="","",IFERROR(INDEX(Request_Tracker!$B$6:$B$205,MATCH(B102,Request_Tracker!$A$6:$A$205,0)),"Req ID not found"))</f>
        <v/>
      </c>
      <c r="D102" s="22"/>
      <c r="E102" s="22"/>
      <c r="F102" s="22"/>
      <c r="G102" s="22"/>
      <c r="H102" s="23" t="str">
        <f aca="false">IF(E102&lt;&gt;"Fail","",IF(F102="Wrong recipient","ESCALATE: possible personal data breach - notify Team Lead / DPO immediately",IF(G102="No","Escalate to Team Lead - error not corrected","Logged - corrected before release")))</f>
        <v/>
      </c>
      <c r="I102" s="22"/>
    </row>
    <row r="103" customFormat="false" ht="15" hidden="false" customHeight="false" outlineLevel="0" collapsed="false">
      <c r="A103" s="24"/>
      <c r="B103" s="22"/>
      <c r="C103" s="25" t="str">
        <f aca="false">IF(B103="","",IFERROR(INDEX(Request_Tracker!$B$6:$B$205,MATCH(B103,Request_Tracker!$A$6:$A$205,0)),"Req ID not found"))</f>
        <v/>
      </c>
      <c r="D103" s="22"/>
      <c r="E103" s="22"/>
      <c r="F103" s="22"/>
      <c r="G103" s="22"/>
      <c r="H103" s="23" t="str">
        <f aca="false">IF(E103&lt;&gt;"Fail","",IF(F103="Wrong recipient","ESCALATE: possible personal data breach - notify Team Lead / DPO immediately",IF(G103="No","Escalate to Team Lead - error not corrected","Logged - corrected before release")))</f>
        <v/>
      </c>
      <c r="I103" s="22"/>
    </row>
    <row r="104" customFormat="false" ht="15" hidden="false" customHeight="false" outlineLevel="0" collapsed="false">
      <c r="A104" s="24"/>
      <c r="B104" s="22"/>
      <c r="C104" s="25" t="str">
        <f aca="false">IF(B104="","",IFERROR(INDEX(Request_Tracker!$B$6:$B$205,MATCH(B104,Request_Tracker!$A$6:$A$205,0)),"Req ID not found"))</f>
        <v/>
      </c>
      <c r="D104" s="22"/>
      <c r="E104" s="22"/>
      <c r="F104" s="22"/>
      <c r="G104" s="22"/>
      <c r="H104" s="23" t="str">
        <f aca="false">IF(E104&lt;&gt;"Fail","",IF(F104="Wrong recipient","ESCALATE: possible personal data breach - notify Team Lead / DPO immediately",IF(G104="No","Escalate to Team Lead - error not corrected","Logged - corrected before release")))</f>
        <v/>
      </c>
      <c r="I104" s="22"/>
    </row>
    <row r="105" customFormat="false" ht="15" hidden="false" customHeight="false" outlineLevel="0" collapsed="false">
      <c r="A105" s="24"/>
      <c r="B105" s="22"/>
      <c r="C105" s="25" t="str">
        <f aca="false">IF(B105="","",IFERROR(INDEX(Request_Tracker!$B$6:$B$205,MATCH(B105,Request_Tracker!$A$6:$A$205,0)),"Req ID not found"))</f>
        <v/>
      </c>
      <c r="D105" s="22"/>
      <c r="E105" s="22"/>
      <c r="F105" s="22"/>
      <c r="G105" s="22"/>
      <c r="H105" s="23" t="str">
        <f aca="false">IF(E105&lt;&gt;"Fail","",IF(F105="Wrong recipient","ESCALATE: possible personal data breach - notify Team Lead / DPO immediately",IF(G105="No","Escalate to Team Lead - error not corrected","Logged - corrected before release")))</f>
        <v/>
      </c>
      <c r="I105" s="22"/>
    </row>
    <row r="106" customFormat="false" ht="15" hidden="false" customHeight="false" outlineLevel="0" collapsed="false">
      <c r="A106" s="24"/>
      <c r="B106" s="22"/>
      <c r="C106" s="25" t="str">
        <f aca="false">IF(B106="","",IFERROR(INDEX(Request_Tracker!$B$6:$B$205,MATCH(B106,Request_Tracker!$A$6:$A$205,0)),"Req ID not found"))</f>
        <v/>
      </c>
      <c r="D106" s="22"/>
      <c r="E106" s="22"/>
      <c r="F106" s="22"/>
      <c r="G106" s="22"/>
      <c r="H106" s="23" t="str">
        <f aca="false">IF(E106&lt;&gt;"Fail","",IF(F106="Wrong recipient","ESCALATE: possible personal data breach - notify Team Lead / DPO immediately",IF(G106="No","Escalate to Team Lead - error not corrected","Logged - corrected before release")))</f>
        <v/>
      </c>
      <c r="I106" s="22"/>
    </row>
    <row r="107" customFormat="false" ht="15" hidden="false" customHeight="false" outlineLevel="0" collapsed="false">
      <c r="A107" s="24"/>
      <c r="B107" s="22"/>
      <c r="C107" s="25" t="str">
        <f aca="false">IF(B107="","",IFERROR(INDEX(Request_Tracker!$B$6:$B$205,MATCH(B107,Request_Tracker!$A$6:$A$205,0)),"Req ID not found"))</f>
        <v/>
      </c>
      <c r="D107" s="22"/>
      <c r="E107" s="22"/>
      <c r="F107" s="22"/>
      <c r="G107" s="22"/>
      <c r="H107" s="23" t="str">
        <f aca="false">IF(E107&lt;&gt;"Fail","",IF(F107="Wrong recipient","ESCALATE: possible personal data breach - notify Team Lead / DPO immediately",IF(G107="No","Escalate to Team Lead - error not corrected","Logged - corrected before release")))</f>
        <v/>
      </c>
      <c r="I107" s="22"/>
    </row>
    <row r="108" customFormat="false" ht="15" hidden="false" customHeight="false" outlineLevel="0" collapsed="false">
      <c r="A108" s="24"/>
      <c r="B108" s="22"/>
      <c r="C108" s="25" t="str">
        <f aca="false">IF(B108="","",IFERROR(INDEX(Request_Tracker!$B$6:$B$205,MATCH(B108,Request_Tracker!$A$6:$A$205,0)),"Req ID not found"))</f>
        <v/>
      </c>
      <c r="D108" s="22"/>
      <c r="E108" s="22"/>
      <c r="F108" s="22"/>
      <c r="G108" s="22"/>
      <c r="H108" s="23" t="str">
        <f aca="false">IF(E108&lt;&gt;"Fail","",IF(F108="Wrong recipient","ESCALATE: possible personal data breach - notify Team Lead / DPO immediately",IF(G108="No","Escalate to Team Lead - error not corrected","Logged - corrected before release")))</f>
        <v/>
      </c>
      <c r="I108" s="22"/>
    </row>
    <row r="109" customFormat="false" ht="15" hidden="false" customHeight="false" outlineLevel="0" collapsed="false">
      <c r="A109" s="24"/>
      <c r="B109" s="22"/>
      <c r="C109" s="25" t="str">
        <f aca="false">IF(B109="","",IFERROR(INDEX(Request_Tracker!$B$6:$B$205,MATCH(B109,Request_Tracker!$A$6:$A$205,0)),"Req ID not found"))</f>
        <v/>
      </c>
      <c r="D109" s="22"/>
      <c r="E109" s="22"/>
      <c r="F109" s="22"/>
      <c r="G109" s="22"/>
      <c r="H109" s="23" t="str">
        <f aca="false">IF(E109&lt;&gt;"Fail","",IF(F109="Wrong recipient","ESCALATE: possible personal data breach - notify Team Lead / DPO immediately",IF(G109="No","Escalate to Team Lead - error not corrected","Logged - corrected before release")))</f>
        <v/>
      </c>
      <c r="I109" s="22"/>
    </row>
    <row r="110" customFormat="false" ht="15" hidden="false" customHeight="false" outlineLevel="0" collapsed="false">
      <c r="A110" s="24"/>
      <c r="B110" s="22"/>
      <c r="C110" s="25" t="str">
        <f aca="false">IF(B110="","",IFERROR(INDEX(Request_Tracker!$B$6:$B$205,MATCH(B110,Request_Tracker!$A$6:$A$205,0)),"Req ID not found"))</f>
        <v/>
      </c>
      <c r="D110" s="22"/>
      <c r="E110" s="22"/>
      <c r="F110" s="22"/>
      <c r="G110" s="22"/>
      <c r="H110" s="23" t="str">
        <f aca="false">IF(E110&lt;&gt;"Fail","",IF(F110="Wrong recipient","ESCALATE: possible personal data breach - notify Team Lead / DPO immediately",IF(G110="No","Escalate to Team Lead - error not corrected","Logged - corrected before release")))</f>
        <v/>
      </c>
      <c r="I110" s="22"/>
    </row>
    <row r="111" customFormat="false" ht="15" hidden="false" customHeight="false" outlineLevel="0" collapsed="false">
      <c r="A111" s="24"/>
      <c r="B111" s="22"/>
      <c r="C111" s="25" t="str">
        <f aca="false">IF(B111="","",IFERROR(INDEX(Request_Tracker!$B$6:$B$205,MATCH(B111,Request_Tracker!$A$6:$A$205,0)),"Req ID not found"))</f>
        <v/>
      </c>
      <c r="D111" s="22"/>
      <c r="E111" s="22"/>
      <c r="F111" s="22"/>
      <c r="G111" s="22"/>
      <c r="H111" s="23" t="str">
        <f aca="false">IF(E111&lt;&gt;"Fail","",IF(F111="Wrong recipient","ESCALATE: possible personal data breach - notify Team Lead / DPO immediately",IF(G111="No","Escalate to Team Lead - error not corrected","Logged - corrected before release")))</f>
        <v/>
      </c>
      <c r="I111" s="22"/>
    </row>
    <row r="112" customFormat="false" ht="15" hidden="false" customHeight="false" outlineLevel="0" collapsed="false">
      <c r="A112" s="24"/>
      <c r="B112" s="22"/>
      <c r="C112" s="25" t="str">
        <f aca="false">IF(B112="","",IFERROR(INDEX(Request_Tracker!$B$6:$B$205,MATCH(B112,Request_Tracker!$A$6:$A$205,0)),"Req ID not found"))</f>
        <v/>
      </c>
      <c r="D112" s="22"/>
      <c r="E112" s="22"/>
      <c r="F112" s="22"/>
      <c r="G112" s="22"/>
      <c r="H112" s="23" t="str">
        <f aca="false">IF(E112&lt;&gt;"Fail","",IF(F112="Wrong recipient","ESCALATE: possible personal data breach - notify Team Lead / DPO immediately",IF(G112="No","Escalate to Team Lead - error not corrected","Logged - corrected before release")))</f>
        <v/>
      </c>
      <c r="I112" s="22"/>
    </row>
    <row r="113" customFormat="false" ht="15" hidden="false" customHeight="false" outlineLevel="0" collapsed="false">
      <c r="A113" s="24"/>
      <c r="B113" s="22"/>
      <c r="C113" s="25" t="str">
        <f aca="false">IF(B113="","",IFERROR(INDEX(Request_Tracker!$B$6:$B$205,MATCH(B113,Request_Tracker!$A$6:$A$205,0)),"Req ID not found"))</f>
        <v/>
      </c>
      <c r="D113" s="22"/>
      <c r="E113" s="22"/>
      <c r="F113" s="22"/>
      <c r="G113" s="22"/>
      <c r="H113" s="23" t="str">
        <f aca="false">IF(E113&lt;&gt;"Fail","",IF(F113="Wrong recipient","ESCALATE: possible personal data breach - notify Team Lead / DPO immediately",IF(G113="No","Escalate to Team Lead - error not corrected","Logged - corrected before release")))</f>
        <v/>
      </c>
      <c r="I113" s="22"/>
    </row>
    <row r="114" customFormat="false" ht="15" hidden="false" customHeight="false" outlineLevel="0" collapsed="false">
      <c r="A114" s="24"/>
      <c r="B114" s="22"/>
      <c r="C114" s="25" t="str">
        <f aca="false">IF(B114="","",IFERROR(INDEX(Request_Tracker!$B$6:$B$205,MATCH(B114,Request_Tracker!$A$6:$A$205,0)),"Req ID not found"))</f>
        <v/>
      </c>
      <c r="D114" s="22"/>
      <c r="E114" s="22"/>
      <c r="F114" s="22"/>
      <c r="G114" s="22"/>
      <c r="H114" s="23" t="str">
        <f aca="false">IF(E114&lt;&gt;"Fail","",IF(F114="Wrong recipient","ESCALATE: possible personal data breach - notify Team Lead / DPO immediately",IF(G114="No","Escalate to Team Lead - error not corrected","Logged - corrected before release")))</f>
        <v/>
      </c>
      <c r="I114" s="22"/>
    </row>
    <row r="115" customFormat="false" ht="15" hidden="false" customHeight="false" outlineLevel="0" collapsed="false">
      <c r="A115" s="24"/>
      <c r="B115" s="22"/>
      <c r="C115" s="25" t="str">
        <f aca="false">IF(B115="","",IFERROR(INDEX(Request_Tracker!$B$6:$B$205,MATCH(B115,Request_Tracker!$A$6:$A$205,0)),"Req ID not found"))</f>
        <v/>
      </c>
      <c r="D115" s="22"/>
      <c r="E115" s="22"/>
      <c r="F115" s="22"/>
      <c r="G115" s="22"/>
      <c r="H115" s="23" t="str">
        <f aca="false">IF(E115&lt;&gt;"Fail","",IF(F115="Wrong recipient","ESCALATE: possible personal data breach - notify Team Lead / DPO immediately",IF(G115="No","Escalate to Team Lead - error not corrected","Logged - corrected before release")))</f>
        <v/>
      </c>
      <c r="I115" s="22"/>
    </row>
    <row r="116" customFormat="false" ht="15" hidden="false" customHeight="false" outlineLevel="0" collapsed="false">
      <c r="A116" s="24"/>
      <c r="B116" s="22"/>
      <c r="C116" s="25" t="str">
        <f aca="false">IF(B116="","",IFERROR(INDEX(Request_Tracker!$B$6:$B$205,MATCH(B116,Request_Tracker!$A$6:$A$205,0)),"Req ID not found"))</f>
        <v/>
      </c>
      <c r="D116" s="22"/>
      <c r="E116" s="22"/>
      <c r="F116" s="22"/>
      <c r="G116" s="22"/>
      <c r="H116" s="23" t="str">
        <f aca="false">IF(E116&lt;&gt;"Fail","",IF(F116="Wrong recipient","ESCALATE: possible personal data breach - notify Team Lead / DPO immediately",IF(G116="No","Escalate to Team Lead - error not corrected","Logged - corrected before release")))</f>
        <v/>
      </c>
      <c r="I116" s="22"/>
    </row>
    <row r="117" customFormat="false" ht="15" hidden="false" customHeight="false" outlineLevel="0" collapsed="false">
      <c r="A117" s="24"/>
      <c r="B117" s="22"/>
      <c r="C117" s="25" t="str">
        <f aca="false">IF(B117="","",IFERROR(INDEX(Request_Tracker!$B$6:$B$205,MATCH(B117,Request_Tracker!$A$6:$A$205,0)),"Req ID not found"))</f>
        <v/>
      </c>
      <c r="D117" s="22"/>
      <c r="E117" s="22"/>
      <c r="F117" s="22"/>
      <c r="G117" s="22"/>
      <c r="H117" s="23" t="str">
        <f aca="false">IF(E117&lt;&gt;"Fail","",IF(F117="Wrong recipient","ESCALATE: possible personal data breach - notify Team Lead / DPO immediately",IF(G117="No","Escalate to Team Lead - error not corrected","Logged - corrected before release")))</f>
        <v/>
      </c>
      <c r="I117" s="22"/>
    </row>
    <row r="118" customFormat="false" ht="15" hidden="false" customHeight="false" outlineLevel="0" collapsed="false">
      <c r="A118" s="24"/>
      <c r="B118" s="22"/>
      <c r="C118" s="25" t="str">
        <f aca="false">IF(B118="","",IFERROR(INDEX(Request_Tracker!$B$6:$B$205,MATCH(B118,Request_Tracker!$A$6:$A$205,0)),"Req ID not found"))</f>
        <v/>
      </c>
      <c r="D118" s="22"/>
      <c r="E118" s="22"/>
      <c r="F118" s="22"/>
      <c r="G118" s="22"/>
      <c r="H118" s="23" t="str">
        <f aca="false">IF(E118&lt;&gt;"Fail","",IF(F118="Wrong recipient","ESCALATE: possible personal data breach - notify Team Lead / DPO immediately",IF(G118="No","Escalate to Team Lead - error not corrected","Logged - corrected before release")))</f>
        <v/>
      </c>
      <c r="I118" s="22"/>
    </row>
    <row r="119" customFormat="false" ht="15" hidden="false" customHeight="false" outlineLevel="0" collapsed="false">
      <c r="A119" s="24"/>
      <c r="B119" s="22"/>
      <c r="C119" s="25" t="str">
        <f aca="false">IF(B119="","",IFERROR(INDEX(Request_Tracker!$B$6:$B$205,MATCH(B119,Request_Tracker!$A$6:$A$205,0)),"Req ID not found"))</f>
        <v/>
      </c>
      <c r="D119" s="22"/>
      <c r="E119" s="22"/>
      <c r="F119" s="22"/>
      <c r="G119" s="22"/>
      <c r="H119" s="23" t="str">
        <f aca="false">IF(E119&lt;&gt;"Fail","",IF(F119="Wrong recipient","ESCALATE: possible personal data breach - notify Team Lead / DPO immediately",IF(G119="No","Escalate to Team Lead - error not corrected","Logged - corrected before release")))</f>
        <v/>
      </c>
      <c r="I119" s="22"/>
    </row>
    <row r="120" customFormat="false" ht="15" hidden="false" customHeight="false" outlineLevel="0" collapsed="false">
      <c r="A120" s="24"/>
      <c r="B120" s="22"/>
      <c r="C120" s="25" t="str">
        <f aca="false">IF(B120="","",IFERROR(INDEX(Request_Tracker!$B$6:$B$205,MATCH(B120,Request_Tracker!$A$6:$A$205,0)),"Req ID not found"))</f>
        <v/>
      </c>
      <c r="D120" s="22"/>
      <c r="E120" s="22"/>
      <c r="F120" s="22"/>
      <c r="G120" s="22"/>
      <c r="H120" s="23" t="str">
        <f aca="false">IF(E120&lt;&gt;"Fail","",IF(F120="Wrong recipient","ESCALATE: possible personal data breach - notify Team Lead / DPO immediately",IF(G120="No","Escalate to Team Lead - error not corrected","Logged - corrected before release")))</f>
        <v/>
      </c>
      <c r="I120" s="22"/>
    </row>
    <row r="121" customFormat="false" ht="15" hidden="false" customHeight="false" outlineLevel="0" collapsed="false">
      <c r="A121" s="24"/>
      <c r="B121" s="22"/>
      <c r="C121" s="25" t="str">
        <f aca="false">IF(B121="","",IFERROR(INDEX(Request_Tracker!$B$6:$B$205,MATCH(B121,Request_Tracker!$A$6:$A$205,0)),"Req ID not found"))</f>
        <v/>
      </c>
      <c r="D121" s="22"/>
      <c r="E121" s="22"/>
      <c r="F121" s="22"/>
      <c r="G121" s="22"/>
      <c r="H121" s="23" t="str">
        <f aca="false">IF(E121&lt;&gt;"Fail","",IF(F121="Wrong recipient","ESCALATE: possible personal data breach - notify Team Lead / DPO immediately",IF(G121="No","Escalate to Team Lead - error not corrected","Logged - corrected before release")))</f>
        <v/>
      </c>
      <c r="I121" s="22"/>
    </row>
    <row r="122" customFormat="false" ht="15" hidden="false" customHeight="false" outlineLevel="0" collapsed="false">
      <c r="A122" s="24"/>
      <c r="B122" s="22"/>
      <c r="C122" s="25" t="str">
        <f aca="false">IF(B122="","",IFERROR(INDEX(Request_Tracker!$B$6:$B$205,MATCH(B122,Request_Tracker!$A$6:$A$205,0)),"Req ID not found"))</f>
        <v/>
      </c>
      <c r="D122" s="22"/>
      <c r="E122" s="22"/>
      <c r="F122" s="22"/>
      <c r="G122" s="22"/>
      <c r="H122" s="23" t="str">
        <f aca="false">IF(E122&lt;&gt;"Fail","",IF(F122="Wrong recipient","ESCALATE: possible personal data breach - notify Team Lead / DPO immediately",IF(G122="No","Escalate to Team Lead - error not corrected","Logged - corrected before release")))</f>
        <v/>
      </c>
      <c r="I122" s="22"/>
    </row>
    <row r="123" customFormat="false" ht="15" hidden="false" customHeight="false" outlineLevel="0" collapsed="false">
      <c r="A123" s="24"/>
      <c r="B123" s="22"/>
      <c r="C123" s="25" t="str">
        <f aca="false">IF(B123="","",IFERROR(INDEX(Request_Tracker!$B$6:$B$205,MATCH(B123,Request_Tracker!$A$6:$A$205,0)),"Req ID not found"))</f>
        <v/>
      </c>
      <c r="D123" s="22"/>
      <c r="E123" s="22"/>
      <c r="F123" s="22"/>
      <c r="G123" s="22"/>
      <c r="H123" s="23" t="str">
        <f aca="false">IF(E123&lt;&gt;"Fail","",IF(F123="Wrong recipient","ESCALATE: possible personal data breach - notify Team Lead / DPO immediately",IF(G123="No","Escalate to Team Lead - error not corrected","Logged - corrected before release")))</f>
        <v/>
      </c>
      <c r="I123" s="22"/>
    </row>
    <row r="124" customFormat="false" ht="15" hidden="false" customHeight="false" outlineLevel="0" collapsed="false">
      <c r="A124" s="24"/>
      <c r="B124" s="22"/>
      <c r="C124" s="25" t="str">
        <f aca="false">IF(B124="","",IFERROR(INDEX(Request_Tracker!$B$6:$B$205,MATCH(B124,Request_Tracker!$A$6:$A$205,0)),"Req ID not found"))</f>
        <v/>
      </c>
      <c r="D124" s="22"/>
      <c r="E124" s="22"/>
      <c r="F124" s="22"/>
      <c r="G124" s="22"/>
      <c r="H124" s="23" t="str">
        <f aca="false">IF(E124&lt;&gt;"Fail","",IF(F124="Wrong recipient","ESCALATE: possible personal data breach - notify Team Lead / DPO immediately",IF(G124="No","Escalate to Team Lead - error not corrected","Logged - corrected before release")))</f>
        <v/>
      </c>
      <c r="I124" s="22"/>
    </row>
    <row r="125" customFormat="false" ht="15" hidden="false" customHeight="false" outlineLevel="0" collapsed="false">
      <c r="A125" s="24"/>
      <c r="B125" s="22"/>
      <c r="C125" s="25" t="str">
        <f aca="false">IF(B125="","",IFERROR(INDEX(Request_Tracker!$B$6:$B$205,MATCH(B125,Request_Tracker!$A$6:$A$205,0)),"Req ID not found"))</f>
        <v/>
      </c>
      <c r="D125" s="22"/>
      <c r="E125" s="22"/>
      <c r="F125" s="22"/>
      <c r="G125" s="22"/>
      <c r="H125" s="23" t="str">
        <f aca="false">IF(E125&lt;&gt;"Fail","",IF(F125="Wrong recipient","ESCALATE: possible personal data breach - notify Team Lead / DPO immediately",IF(G125="No","Escalate to Team Lead - error not corrected","Logged - corrected before release")))</f>
        <v/>
      </c>
      <c r="I125" s="22"/>
    </row>
    <row r="126" customFormat="false" ht="15" hidden="false" customHeight="false" outlineLevel="0" collapsed="false">
      <c r="A126" s="24"/>
      <c r="B126" s="22"/>
      <c r="C126" s="25" t="str">
        <f aca="false">IF(B126="","",IFERROR(INDEX(Request_Tracker!$B$6:$B$205,MATCH(B126,Request_Tracker!$A$6:$A$205,0)),"Req ID not found"))</f>
        <v/>
      </c>
      <c r="D126" s="22"/>
      <c r="E126" s="22"/>
      <c r="F126" s="22"/>
      <c r="G126" s="22"/>
      <c r="H126" s="23" t="str">
        <f aca="false">IF(E126&lt;&gt;"Fail","",IF(F126="Wrong recipient","ESCALATE: possible personal data breach - notify Team Lead / DPO immediately",IF(G126="No","Escalate to Team Lead - error not corrected","Logged - corrected before release")))</f>
        <v/>
      </c>
      <c r="I126" s="22"/>
    </row>
    <row r="127" customFormat="false" ht="15" hidden="false" customHeight="false" outlineLevel="0" collapsed="false">
      <c r="A127" s="24"/>
      <c r="B127" s="22"/>
      <c r="C127" s="25" t="str">
        <f aca="false">IF(B127="","",IFERROR(INDEX(Request_Tracker!$B$6:$B$205,MATCH(B127,Request_Tracker!$A$6:$A$205,0)),"Req ID not found"))</f>
        <v/>
      </c>
      <c r="D127" s="22"/>
      <c r="E127" s="22"/>
      <c r="F127" s="22"/>
      <c r="G127" s="22"/>
      <c r="H127" s="23" t="str">
        <f aca="false">IF(E127&lt;&gt;"Fail","",IF(F127="Wrong recipient","ESCALATE: possible personal data breach - notify Team Lead / DPO immediately",IF(G127="No","Escalate to Team Lead - error not corrected","Logged - corrected before release")))</f>
        <v/>
      </c>
      <c r="I127" s="22"/>
    </row>
    <row r="128" customFormat="false" ht="15" hidden="false" customHeight="false" outlineLevel="0" collapsed="false">
      <c r="A128" s="24"/>
      <c r="B128" s="22"/>
      <c r="C128" s="25" t="str">
        <f aca="false">IF(B128="","",IFERROR(INDEX(Request_Tracker!$B$6:$B$205,MATCH(B128,Request_Tracker!$A$6:$A$205,0)),"Req ID not found"))</f>
        <v/>
      </c>
      <c r="D128" s="22"/>
      <c r="E128" s="22"/>
      <c r="F128" s="22"/>
      <c r="G128" s="22"/>
      <c r="H128" s="23" t="str">
        <f aca="false">IF(E128&lt;&gt;"Fail","",IF(F128="Wrong recipient","ESCALATE: possible personal data breach - notify Team Lead / DPO immediately",IF(G128="No","Escalate to Team Lead - error not corrected","Logged - corrected before release")))</f>
        <v/>
      </c>
      <c r="I128" s="22"/>
    </row>
    <row r="129" customFormat="false" ht="15" hidden="false" customHeight="false" outlineLevel="0" collapsed="false">
      <c r="A129" s="24"/>
      <c r="B129" s="22"/>
      <c r="C129" s="25" t="str">
        <f aca="false">IF(B129="","",IFERROR(INDEX(Request_Tracker!$B$6:$B$205,MATCH(B129,Request_Tracker!$A$6:$A$205,0)),"Req ID not found"))</f>
        <v/>
      </c>
      <c r="D129" s="22"/>
      <c r="E129" s="22"/>
      <c r="F129" s="22"/>
      <c r="G129" s="22"/>
      <c r="H129" s="23" t="str">
        <f aca="false">IF(E129&lt;&gt;"Fail","",IF(F129="Wrong recipient","ESCALATE: possible personal data breach - notify Team Lead / DPO immediately",IF(G129="No","Escalate to Team Lead - error not corrected","Logged - corrected before release")))</f>
        <v/>
      </c>
      <c r="I129" s="22"/>
    </row>
    <row r="130" customFormat="false" ht="15" hidden="false" customHeight="false" outlineLevel="0" collapsed="false">
      <c r="A130" s="24"/>
      <c r="B130" s="22"/>
      <c r="C130" s="25" t="str">
        <f aca="false">IF(B130="","",IFERROR(INDEX(Request_Tracker!$B$6:$B$205,MATCH(B130,Request_Tracker!$A$6:$A$205,0)),"Req ID not found"))</f>
        <v/>
      </c>
      <c r="D130" s="22"/>
      <c r="E130" s="22"/>
      <c r="F130" s="22"/>
      <c r="G130" s="22"/>
      <c r="H130" s="23" t="str">
        <f aca="false">IF(E130&lt;&gt;"Fail","",IF(F130="Wrong recipient","ESCALATE: possible personal data breach - notify Team Lead / DPO immediately",IF(G130="No","Escalate to Team Lead - error not corrected","Logged - corrected before release")))</f>
        <v/>
      </c>
      <c r="I130" s="22"/>
    </row>
    <row r="131" customFormat="false" ht="15" hidden="false" customHeight="false" outlineLevel="0" collapsed="false">
      <c r="A131" s="24"/>
      <c r="B131" s="22"/>
      <c r="C131" s="25" t="str">
        <f aca="false">IF(B131="","",IFERROR(INDEX(Request_Tracker!$B$6:$B$205,MATCH(B131,Request_Tracker!$A$6:$A$205,0)),"Req ID not found"))</f>
        <v/>
      </c>
      <c r="D131" s="22"/>
      <c r="E131" s="22"/>
      <c r="F131" s="22"/>
      <c r="G131" s="22"/>
      <c r="H131" s="23" t="str">
        <f aca="false">IF(E131&lt;&gt;"Fail","",IF(F131="Wrong recipient","ESCALATE: possible personal data breach - notify Team Lead / DPO immediately",IF(G131="No","Escalate to Team Lead - error not corrected","Logged - corrected before release")))</f>
        <v/>
      </c>
      <c r="I131" s="22"/>
    </row>
    <row r="132" customFormat="false" ht="15" hidden="false" customHeight="false" outlineLevel="0" collapsed="false">
      <c r="A132" s="24"/>
      <c r="B132" s="22"/>
      <c r="C132" s="25" t="str">
        <f aca="false">IF(B132="","",IFERROR(INDEX(Request_Tracker!$B$6:$B$205,MATCH(B132,Request_Tracker!$A$6:$A$205,0)),"Req ID not found"))</f>
        <v/>
      </c>
      <c r="D132" s="22"/>
      <c r="E132" s="22"/>
      <c r="F132" s="22"/>
      <c r="G132" s="22"/>
      <c r="H132" s="23" t="str">
        <f aca="false">IF(E132&lt;&gt;"Fail","",IF(F132="Wrong recipient","ESCALATE: possible personal data breach - notify Team Lead / DPO immediately",IF(G132="No","Escalate to Team Lead - error not corrected","Logged - corrected before release")))</f>
        <v/>
      </c>
      <c r="I132" s="22"/>
    </row>
    <row r="133" customFormat="false" ht="15" hidden="false" customHeight="false" outlineLevel="0" collapsed="false">
      <c r="A133" s="24"/>
      <c r="B133" s="22"/>
      <c r="C133" s="25" t="str">
        <f aca="false">IF(B133="","",IFERROR(INDEX(Request_Tracker!$B$6:$B$205,MATCH(B133,Request_Tracker!$A$6:$A$205,0)),"Req ID not found"))</f>
        <v/>
      </c>
      <c r="D133" s="22"/>
      <c r="E133" s="22"/>
      <c r="F133" s="22"/>
      <c r="G133" s="22"/>
      <c r="H133" s="23" t="str">
        <f aca="false">IF(E133&lt;&gt;"Fail","",IF(F133="Wrong recipient","ESCALATE: possible personal data breach - notify Team Lead / DPO immediately",IF(G133="No","Escalate to Team Lead - error not corrected","Logged - corrected before release")))</f>
        <v/>
      </c>
      <c r="I133" s="22"/>
    </row>
    <row r="134" customFormat="false" ht="15" hidden="false" customHeight="false" outlineLevel="0" collapsed="false">
      <c r="A134" s="24"/>
      <c r="B134" s="22"/>
      <c r="C134" s="25" t="str">
        <f aca="false">IF(B134="","",IFERROR(INDEX(Request_Tracker!$B$6:$B$205,MATCH(B134,Request_Tracker!$A$6:$A$205,0)),"Req ID not found"))</f>
        <v/>
      </c>
      <c r="D134" s="22"/>
      <c r="E134" s="22"/>
      <c r="F134" s="22"/>
      <c r="G134" s="22"/>
      <c r="H134" s="23" t="str">
        <f aca="false">IF(E134&lt;&gt;"Fail","",IF(F134="Wrong recipient","ESCALATE: possible personal data breach - notify Team Lead / DPO immediately",IF(G134="No","Escalate to Team Lead - error not corrected","Logged - corrected before release")))</f>
        <v/>
      </c>
      <c r="I134" s="22"/>
    </row>
    <row r="135" customFormat="false" ht="15" hidden="false" customHeight="false" outlineLevel="0" collapsed="false">
      <c r="A135" s="24"/>
      <c r="B135" s="22"/>
      <c r="C135" s="25" t="str">
        <f aca="false">IF(B135="","",IFERROR(INDEX(Request_Tracker!$B$6:$B$205,MATCH(B135,Request_Tracker!$A$6:$A$205,0)),"Req ID not found"))</f>
        <v/>
      </c>
      <c r="D135" s="22"/>
      <c r="E135" s="22"/>
      <c r="F135" s="22"/>
      <c r="G135" s="22"/>
      <c r="H135" s="23" t="str">
        <f aca="false">IF(E135&lt;&gt;"Fail","",IF(F135="Wrong recipient","ESCALATE: possible personal data breach - notify Team Lead / DPO immediately",IF(G135="No","Escalate to Team Lead - error not corrected","Logged - corrected before release")))</f>
        <v/>
      </c>
      <c r="I135" s="22"/>
    </row>
    <row r="136" customFormat="false" ht="15" hidden="false" customHeight="false" outlineLevel="0" collapsed="false">
      <c r="A136" s="24"/>
      <c r="B136" s="22"/>
      <c r="C136" s="25" t="str">
        <f aca="false">IF(B136="","",IFERROR(INDEX(Request_Tracker!$B$6:$B$205,MATCH(B136,Request_Tracker!$A$6:$A$205,0)),"Req ID not found"))</f>
        <v/>
      </c>
      <c r="D136" s="22"/>
      <c r="E136" s="22"/>
      <c r="F136" s="22"/>
      <c r="G136" s="22"/>
      <c r="H136" s="23" t="str">
        <f aca="false">IF(E136&lt;&gt;"Fail","",IF(F136="Wrong recipient","ESCALATE: possible personal data breach - notify Team Lead / DPO immediately",IF(G136="No","Escalate to Team Lead - error not corrected","Logged - corrected before release")))</f>
        <v/>
      </c>
      <c r="I136" s="22"/>
    </row>
    <row r="137" customFormat="false" ht="15" hidden="false" customHeight="false" outlineLevel="0" collapsed="false">
      <c r="A137" s="24"/>
      <c r="B137" s="22"/>
      <c r="C137" s="25" t="str">
        <f aca="false">IF(B137="","",IFERROR(INDEX(Request_Tracker!$B$6:$B$205,MATCH(B137,Request_Tracker!$A$6:$A$205,0)),"Req ID not found"))</f>
        <v/>
      </c>
      <c r="D137" s="22"/>
      <c r="E137" s="22"/>
      <c r="F137" s="22"/>
      <c r="G137" s="22"/>
      <c r="H137" s="23" t="str">
        <f aca="false">IF(E137&lt;&gt;"Fail","",IF(F137="Wrong recipient","ESCALATE: possible personal data breach - notify Team Lead / DPO immediately",IF(G137="No","Escalate to Team Lead - error not corrected","Logged - corrected before release")))</f>
        <v/>
      </c>
      <c r="I137" s="22"/>
    </row>
    <row r="138" customFormat="false" ht="15" hidden="false" customHeight="false" outlineLevel="0" collapsed="false">
      <c r="A138" s="24"/>
      <c r="B138" s="22"/>
      <c r="C138" s="25" t="str">
        <f aca="false">IF(B138="","",IFERROR(INDEX(Request_Tracker!$B$6:$B$205,MATCH(B138,Request_Tracker!$A$6:$A$205,0)),"Req ID not found"))</f>
        <v/>
      </c>
      <c r="D138" s="22"/>
      <c r="E138" s="22"/>
      <c r="F138" s="22"/>
      <c r="G138" s="22"/>
      <c r="H138" s="23" t="str">
        <f aca="false">IF(E138&lt;&gt;"Fail","",IF(F138="Wrong recipient","ESCALATE: possible personal data breach - notify Team Lead / DPO immediately",IF(G138="No","Escalate to Team Lead - error not corrected","Logged - corrected before release")))</f>
        <v/>
      </c>
      <c r="I138" s="22"/>
    </row>
    <row r="139" customFormat="false" ht="15" hidden="false" customHeight="false" outlineLevel="0" collapsed="false">
      <c r="A139" s="24"/>
      <c r="B139" s="22"/>
      <c r="C139" s="25" t="str">
        <f aca="false">IF(B139="","",IFERROR(INDEX(Request_Tracker!$B$6:$B$205,MATCH(B139,Request_Tracker!$A$6:$A$205,0)),"Req ID not found"))</f>
        <v/>
      </c>
      <c r="D139" s="22"/>
      <c r="E139" s="22"/>
      <c r="F139" s="22"/>
      <c r="G139" s="22"/>
      <c r="H139" s="23" t="str">
        <f aca="false">IF(E139&lt;&gt;"Fail","",IF(F139="Wrong recipient","ESCALATE: possible personal data breach - notify Team Lead / DPO immediately",IF(G139="No","Escalate to Team Lead - error not corrected","Logged - corrected before release")))</f>
        <v/>
      </c>
      <c r="I139" s="22"/>
    </row>
    <row r="140" customFormat="false" ht="15" hidden="false" customHeight="false" outlineLevel="0" collapsed="false">
      <c r="A140" s="24"/>
      <c r="B140" s="22"/>
      <c r="C140" s="25" t="str">
        <f aca="false">IF(B140="","",IFERROR(INDEX(Request_Tracker!$B$6:$B$205,MATCH(B140,Request_Tracker!$A$6:$A$205,0)),"Req ID not found"))</f>
        <v/>
      </c>
      <c r="D140" s="22"/>
      <c r="E140" s="22"/>
      <c r="F140" s="22"/>
      <c r="G140" s="22"/>
      <c r="H140" s="23" t="str">
        <f aca="false">IF(E140&lt;&gt;"Fail","",IF(F140="Wrong recipient","ESCALATE: possible personal data breach - notify Team Lead / DPO immediately",IF(G140="No","Escalate to Team Lead - error not corrected","Logged - corrected before release")))</f>
        <v/>
      </c>
      <c r="I140" s="22"/>
    </row>
    <row r="141" customFormat="false" ht="15" hidden="false" customHeight="false" outlineLevel="0" collapsed="false">
      <c r="A141" s="24"/>
      <c r="B141" s="22"/>
      <c r="C141" s="25" t="str">
        <f aca="false">IF(B141="","",IFERROR(INDEX(Request_Tracker!$B$6:$B$205,MATCH(B141,Request_Tracker!$A$6:$A$205,0)),"Req ID not found"))</f>
        <v/>
      </c>
      <c r="D141" s="22"/>
      <c r="E141" s="22"/>
      <c r="F141" s="22"/>
      <c r="G141" s="22"/>
      <c r="H141" s="23" t="str">
        <f aca="false">IF(E141&lt;&gt;"Fail","",IF(F141="Wrong recipient","ESCALATE: possible personal data breach - notify Team Lead / DPO immediately",IF(G141="No","Escalate to Team Lead - error not corrected","Logged - corrected before release")))</f>
        <v/>
      </c>
      <c r="I141" s="22"/>
    </row>
    <row r="142" customFormat="false" ht="15" hidden="false" customHeight="false" outlineLevel="0" collapsed="false">
      <c r="A142" s="24"/>
      <c r="B142" s="22"/>
      <c r="C142" s="25" t="str">
        <f aca="false">IF(B142="","",IFERROR(INDEX(Request_Tracker!$B$6:$B$205,MATCH(B142,Request_Tracker!$A$6:$A$205,0)),"Req ID not found"))</f>
        <v/>
      </c>
      <c r="D142" s="22"/>
      <c r="E142" s="22"/>
      <c r="F142" s="22"/>
      <c r="G142" s="22"/>
      <c r="H142" s="23" t="str">
        <f aca="false">IF(E142&lt;&gt;"Fail","",IF(F142="Wrong recipient","ESCALATE: possible personal data breach - notify Team Lead / DPO immediately",IF(G142="No","Escalate to Team Lead - error not corrected","Logged - corrected before release")))</f>
        <v/>
      </c>
      <c r="I142" s="22"/>
    </row>
    <row r="143" customFormat="false" ht="15" hidden="false" customHeight="false" outlineLevel="0" collapsed="false">
      <c r="A143" s="24"/>
      <c r="B143" s="22"/>
      <c r="C143" s="25" t="str">
        <f aca="false">IF(B143="","",IFERROR(INDEX(Request_Tracker!$B$6:$B$205,MATCH(B143,Request_Tracker!$A$6:$A$205,0)),"Req ID not found"))</f>
        <v/>
      </c>
      <c r="D143" s="22"/>
      <c r="E143" s="22"/>
      <c r="F143" s="22"/>
      <c r="G143" s="22"/>
      <c r="H143" s="23" t="str">
        <f aca="false">IF(E143&lt;&gt;"Fail","",IF(F143="Wrong recipient","ESCALATE: possible personal data breach - notify Team Lead / DPO immediately",IF(G143="No","Escalate to Team Lead - error not corrected","Logged - corrected before release")))</f>
        <v/>
      </c>
      <c r="I143" s="22"/>
    </row>
    <row r="144" customFormat="false" ht="15" hidden="false" customHeight="false" outlineLevel="0" collapsed="false">
      <c r="A144" s="24"/>
      <c r="B144" s="22"/>
      <c r="C144" s="25" t="str">
        <f aca="false">IF(B144="","",IFERROR(INDEX(Request_Tracker!$B$6:$B$205,MATCH(B144,Request_Tracker!$A$6:$A$205,0)),"Req ID not found"))</f>
        <v/>
      </c>
      <c r="D144" s="22"/>
      <c r="E144" s="22"/>
      <c r="F144" s="22"/>
      <c r="G144" s="22"/>
      <c r="H144" s="23" t="str">
        <f aca="false">IF(E144&lt;&gt;"Fail","",IF(F144="Wrong recipient","ESCALATE: possible personal data breach - notify Team Lead / DPO immediately",IF(G144="No","Escalate to Team Lead - error not corrected","Logged - corrected before release")))</f>
        <v/>
      </c>
      <c r="I144" s="22"/>
    </row>
    <row r="145" customFormat="false" ht="15" hidden="false" customHeight="false" outlineLevel="0" collapsed="false">
      <c r="A145" s="24"/>
      <c r="B145" s="22"/>
      <c r="C145" s="25" t="str">
        <f aca="false">IF(B145="","",IFERROR(INDEX(Request_Tracker!$B$6:$B$205,MATCH(B145,Request_Tracker!$A$6:$A$205,0)),"Req ID not found"))</f>
        <v/>
      </c>
      <c r="D145" s="22"/>
      <c r="E145" s="22"/>
      <c r="F145" s="22"/>
      <c r="G145" s="22"/>
      <c r="H145" s="23" t="str">
        <f aca="false">IF(E145&lt;&gt;"Fail","",IF(F145="Wrong recipient","ESCALATE: possible personal data breach - notify Team Lead / DPO immediately",IF(G145="No","Escalate to Team Lead - error not corrected","Logged - corrected before release")))</f>
        <v/>
      </c>
      <c r="I145" s="22"/>
    </row>
    <row r="146" customFormat="false" ht="15" hidden="false" customHeight="false" outlineLevel="0" collapsed="false">
      <c r="A146" s="24"/>
      <c r="B146" s="22"/>
      <c r="C146" s="25" t="str">
        <f aca="false">IF(B146="","",IFERROR(INDEX(Request_Tracker!$B$6:$B$205,MATCH(B146,Request_Tracker!$A$6:$A$205,0)),"Req ID not found"))</f>
        <v/>
      </c>
      <c r="D146" s="22"/>
      <c r="E146" s="22"/>
      <c r="F146" s="22"/>
      <c r="G146" s="22"/>
      <c r="H146" s="23" t="str">
        <f aca="false">IF(E146&lt;&gt;"Fail","",IF(F146="Wrong recipient","ESCALATE: possible personal data breach - notify Team Lead / DPO immediately",IF(G146="No","Escalate to Team Lead - error not corrected","Logged - corrected before release")))</f>
        <v/>
      </c>
      <c r="I146" s="22"/>
    </row>
    <row r="147" customFormat="false" ht="15" hidden="false" customHeight="false" outlineLevel="0" collapsed="false">
      <c r="A147" s="24"/>
      <c r="B147" s="22"/>
      <c r="C147" s="25" t="str">
        <f aca="false">IF(B147="","",IFERROR(INDEX(Request_Tracker!$B$6:$B$205,MATCH(B147,Request_Tracker!$A$6:$A$205,0)),"Req ID not found"))</f>
        <v/>
      </c>
      <c r="D147" s="22"/>
      <c r="E147" s="22"/>
      <c r="F147" s="22"/>
      <c r="G147" s="22"/>
      <c r="H147" s="23" t="str">
        <f aca="false">IF(E147&lt;&gt;"Fail","",IF(F147="Wrong recipient","ESCALATE: possible personal data breach - notify Team Lead / DPO immediately",IF(G147="No","Escalate to Team Lead - error not corrected","Logged - corrected before release")))</f>
        <v/>
      </c>
      <c r="I147" s="22"/>
    </row>
    <row r="148" customFormat="false" ht="15" hidden="false" customHeight="false" outlineLevel="0" collapsed="false">
      <c r="A148" s="24"/>
      <c r="B148" s="22"/>
      <c r="C148" s="25" t="str">
        <f aca="false">IF(B148="","",IFERROR(INDEX(Request_Tracker!$B$6:$B$205,MATCH(B148,Request_Tracker!$A$6:$A$205,0)),"Req ID not found"))</f>
        <v/>
      </c>
      <c r="D148" s="22"/>
      <c r="E148" s="22"/>
      <c r="F148" s="22"/>
      <c r="G148" s="22"/>
      <c r="H148" s="23" t="str">
        <f aca="false">IF(E148&lt;&gt;"Fail","",IF(F148="Wrong recipient","ESCALATE: possible personal data breach - notify Team Lead / DPO immediately",IF(G148="No","Escalate to Team Lead - error not corrected","Logged - corrected before release")))</f>
        <v/>
      </c>
      <c r="I148" s="22"/>
    </row>
    <row r="149" customFormat="false" ht="15" hidden="false" customHeight="false" outlineLevel="0" collapsed="false">
      <c r="A149" s="24"/>
      <c r="B149" s="22"/>
      <c r="C149" s="25" t="str">
        <f aca="false">IF(B149="","",IFERROR(INDEX(Request_Tracker!$B$6:$B$205,MATCH(B149,Request_Tracker!$A$6:$A$205,0)),"Req ID not found"))</f>
        <v/>
      </c>
      <c r="D149" s="22"/>
      <c r="E149" s="22"/>
      <c r="F149" s="22"/>
      <c r="G149" s="22"/>
      <c r="H149" s="23" t="str">
        <f aca="false">IF(E149&lt;&gt;"Fail","",IF(F149="Wrong recipient","ESCALATE: possible personal data breach - notify Team Lead / DPO immediately",IF(G149="No","Escalate to Team Lead - error not corrected","Logged - corrected before release")))</f>
        <v/>
      </c>
      <c r="I149" s="22"/>
    </row>
    <row r="150" customFormat="false" ht="15" hidden="false" customHeight="false" outlineLevel="0" collapsed="false">
      <c r="A150" s="24"/>
      <c r="B150" s="22"/>
      <c r="C150" s="25" t="str">
        <f aca="false">IF(B150="","",IFERROR(INDEX(Request_Tracker!$B$6:$B$205,MATCH(B150,Request_Tracker!$A$6:$A$205,0)),"Req ID not found"))</f>
        <v/>
      </c>
      <c r="D150" s="22"/>
      <c r="E150" s="22"/>
      <c r="F150" s="22"/>
      <c r="G150" s="22"/>
      <c r="H150" s="23" t="str">
        <f aca="false">IF(E150&lt;&gt;"Fail","",IF(F150="Wrong recipient","ESCALATE: possible personal data breach - notify Team Lead / DPO immediately",IF(G150="No","Escalate to Team Lead - error not corrected","Logged - corrected before release")))</f>
        <v/>
      </c>
      <c r="I150" s="22"/>
    </row>
    <row r="151" customFormat="false" ht="15" hidden="false" customHeight="false" outlineLevel="0" collapsed="false">
      <c r="A151" s="24"/>
      <c r="B151" s="22"/>
      <c r="C151" s="25" t="str">
        <f aca="false">IF(B151="","",IFERROR(INDEX(Request_Tracker!$B$6:$B$205,MATCH(B151,Request_Tracker!$A$6:$A$205,0)),"Req ID not found"))</f>
        <v/>
      </c>
      <c r="D151" s="22"/>
      <c r="E151" s="22"/>
      <c r="F151" s="22"/>
      <c r="G151" s="22"/>
      <c r="H151" s="23" t="str">
        <f aca="false">IF(E151&lt;&gt;"Fail","",IF(F151="Wrong recipient","ESCALATE: possible personal data breach - notify Team Lead / DPO immediately",IF(G151="No","Escalate to Team Lead - error not corrected","Logged - corrected before release")))</f>
        <v/>
      </c>
      <c r="I151" s="22"/>
    </row>
    <row r="152" customFormat="false" ht="15" hidden="false" customHeight="false" outlineLevel="0" collapsed="false">
      <c r="A152" s="24"/>
      <c r="B152" s="22"/>
      <c r="C152" s="25" t="str">
        <f aca="false">IF(B152="","",IFERROR(INDEX(Request_Tracker!$B$6:$B$205,MATCH(B152,Request_Tracker!$A$6:$A$205,0)),"Req ID not found"))</f>
        <v/>
      </c>
      <c r="D152" s="22"/>
      <c r="E152" s="22"/>
      <c r="F152" s="22"/>
      <c r="G152" s="22"/>
      <c r="H152" s="23" t="str">
        <f aca="false">IF(E152&lt;&gt;"Fail","",IF(F152="Wrong recipient","ESCALATE: possible personal data breach - notify Team Lead / DPO immediately",IF(G152="No","Escalate to Team Lead - error not corrected","Logged - corrected before release")))</f>
        <v/>
      </c>
      <c r="I152" s="22"/>
    </row>
    <row r="153" customFormat="false" ht="15" hidden="false" customHeight="false" outlineLevel="0" collapsed="false">
      <c r="A153" s="24"/>
      <c r="B153" s="22"/>
      <c r="C153" s="25" t="str">
        <f aca="false">IF(B153="","",IFERROR(INDEX(Request_Tracker!$B$6:$B$205,MATCH(B153,Request_Tracker!$A$6:$A$205,0)),"Req ID not found"))</f>
        <v/>
      </c>
      <c r="D153" s="22"/>
      <c r="E153" s="22"/>
      <c r="F153" s="22"/>
      <c r="G153" s="22"/>
      <c r="H153" s="23" t="str">
        <f aca="false">IF(E153&lt;&gt;"Fail","",IF(F153="Wrong recipient","ESCALATE: possible personal data breach - notify Team Lead / DPO immediately",IF(G153="No","Escalate to Team Lead - error not corrected","Logged - corrected before release")))</f>
        <v/>
      </c>
      <c r="I153" s="22"/>
    </row>
    <row r="154" customFormat="false" ht="15" hidden="false" customHeight="false" outlineLevel="0" collapsed="false">
      <c r="A154" s="24"/>
      <c r="B154" s="22"/>
      <c r="C154" s="25" t="str">
        <f aca="false">IF(B154="","",IFERROR(INDEX(Request_Tracker!$B$6:$B$205,MATCH(B154,Request_Tracker!$A$6:$A$205,0)),"Req ID not found"))</f>
        <v/>
      </c>
      <c r="D154" s="22"/>
      <c r="E154" s="22"/>
      <c r="F154" s="22"/>
      <c r="G154" s="22"/>
      <c r="H154" s="23" t="str">
        <f aca="false">IF(E154&lt;&gt;"Fail","",IF(F154="Wrong recipient","ESCALATE: possible personal data breach - notify Team Lead / DPO immediately",IF(G154="No","Escalate to Team Lead - error not corrected","Logged - corrected before release")))</f>
        <v/>
      </c>
      <c r="I154" s="22"/>
    </row>
    <row r="155" customFormat="false" ht="15" hidden="false" customHeight="false" outlineLevel="0" collapsed="false">
      <c r="A155" s="24"/>
      <c r="B155" s="22"/>
      <c r="C155" s="25" t="str">
        <f aca="false">IF(B155="","",IFERROR(INDEX(Request_Tracker!$B$6:$B$205,MATCH(B155,Request_Tracker!$A$6:$A$205,0)),"Req ID not found"))</f>
        <v/>
      </c>
      <c r="D155" s="22"/>
      <c r="E155" s="22"/>
      <c r="F155" s="22"/>
      <c r="G155" s="22"/>
      <c r="H155" s="23" t="str">
        <f aca="false">IF(E155&lt;&gt;"Fail","",IF(F155="Wrong recipient","ESCALATE: possible personal data breach - notify Team Lead / DPO immediately",IF(G155="No","Escalate to Team Lead - error not corrected","Logged - corrected before release")))</f>
        <v/>
      </c>
      <c r="I155" s="22"/>
    </row>
    <row r="156" customFormat="false" ht="15" hidden="false" customHeight="false" outlineLevel="0" collapsed="false">
      <c r="A156" s="24"/>
      <c r="B156" s="22"/>
      <c r="C156" s="25" t="str">
        <f aca="false">IF(B156="","",IFERROR(INDEX(Request_Tracker!$B$6:$B$205,MATCH(B156,Request_Tracker!$A$6:$A$205,0)),"Req ID not found"))</f>
        <v/>
      </c>
      <c r="D156" s="22"/>
      <c r="E156" s="22"/>
      <c r="F156" s="22"/>
      <c r="G156" s="22"/>
      <c r="H156" s="23" t="str">
        <f aca="false">IF(E156&lt;&gt;"Fail","",IF(F156="Wrong recipient","ESCALATE: possible personal data breach - notify Team Lead / DPO immediately",IF(G156="No","Escalate to Team Lead - error not corrected","Logged - corrected before release")))</f>
        <v/>
      </c>
      <c r="I156" s="22"/>
    </row>
    <row r="157" customFormat="false" ht="15" hidden="false" customHeight="false" outlineLevel="0" collapsed="false">
      <c r="A157" s="24"/>
      <c r="B157" s="22"/>
      <c r="C157" s="25" t="str">
        <f aca="false">IF(B157="","",IFERROR(INDEX(Request_Tracker!$B$6:$B$205,MATCH(B157,Request_Tracker!$A$6:$A$205,0)),"Req ID not found"))</f>
        <v/>
      </c>
      <c r="D157" s="22"/>
      <c r="E157" s="22"/>
      <c r="F157" s="22"/>
      <c r="G157" s="22"/>
      <c r="H157" s="23" t="str">
        <f aca="false">IF(E157&lt;&gt;"Fail","",IF(F157="Wrong recipient","ESCALATE: possible personal data breach - notify Team Lead / DPO immediately",IF(G157="No","Escalate to Team Lead - error not corrected","Logged - corrected before release")))</f>
        <v/>
      </c>
      <c r="I157" s="22"/>
    </row>
    <row r="158" customFormat="false" ht="15" hidden="false" customHeight="false" outlineLevel="0" collapsed="false">
      <c r="A158" s="24"/>
      <c r="B158" s="22"/>
      <c r="C158" s="25" t="str">
        <f aca="false">IF(B158="","",IFERROR(INDEX(Request_Tracker!$B$6:$B$205,MATCH(B158,Request_Tracker!$A$6:$A$205,0)),"Req ID not found"))</f>
        <v/>
      </c>
      <c r="D158" s="22"/>
      <c r="E158" s="22"/>
      <c r="F158" s="22"/>
      <c r="G158" s="22"/>
      <c r="H158" s="23" t="str">
        <f aca="false">IF(E158&lt;&gt;"Fail","",IF(F158="Wrong recipient","ESCALATE: possible personal data breach - notify Team Lead / DPO immediately",IF(G158="No","Escalate to Team Lead - error not corrected","Logged - corrected before release")))</f>
        <v/>
      </c>
      <c r="I158" s="22"/>
    </row>
    <row r="159" customFormat="false" ht="15" hidden="false" customHeight="false" outlineLevel="0" collapsed="false">
      <c r="A159" s="24"/>
      <c r="B159" s="22"/>
      <c r="C159" s="25" t="str">
        <f aca="false">IF(B159="","",IFERROR(INDEX(Request_Tracker!$B$6:$B$205,MATCH(B159,Request_Tracker!$A$6:$A$205,0)),"Req ID not found"))</f>
        <v/>
      </c>
      <c r="D159" s="22"/>
      <c r="E159" s="22"/>
      <c r="F159" s="22"/>
      <c r="G159" s="22"/>
      <c r="H159" s="23" t="str">
        <f aca="false">IF(E159&lt;&gt;"Fail","",IF(F159="Wrong recipient","ESCALATE: possible personal data breach - notify Team Lead / DPO immediately",IF(G159="No","Escalate to Team Lead - error not corrected","Logged - corrected before release")))</f>
        <v/>
      </c>
      <c r="I159" s="22"/>
    </row>
    <row r="160" customFormat="false" ht="15" hidden="false" customHeight="false" outlineLevel="0" collapsed="false">
      <c r="A160" s="24"/>
      <c r="B160" s="22"/>
      <c r="C160" s="25" t="str">
        <f aca="false">IF(B160="","",IFERROR(INDEX(Request_Tracker!$B$6:$B$205,MATCH(B160,Request_Tracker!$A$6:$A$205,0)),"Req ID not found"))</f>
        <v/>
      </c>
      <c r="D160" s="22"/>
      <c r="E160" s="22"/>
      <c r="F160" s="22"/>
      <c r="G160" s="22"/>
      <c r="H160" s="23" t="str">
        <f aca="false">IF(E160&lt;&gt;"Fail","",IF(F160="Wrong recipient","ESCALATE: possible personal data breach - notify Team Lead / DPO immediately",IF(G160="No","Escalate to Team Lead - error not corrected","Logged - corrected before release")))</f>
        <v/>
      </c>
      <c r="I160" s="22"/>
    </row>
    <row r="161" customFormat="false" ht="15" hidden="false" customHeight="false" outlineLevel="0" collapsed="false">
      <c r="A161" s="24"/>
      <c r="B161" s="22"/>
      <c r="C161" s="25" t="str">
        <f aca="false">IF(B161="","",IFERROR(INDEX(Request_Tracker!$B$6:$B$205,MATCH(B161,Request_Tracker!$A$6:$A$205,0)),"Req ID not found"))</f>
        <v/>
      </c>
      <c r="D161" s="22"/>
      <c r="E161" s="22"/>
      <c r="F161" s="22"/>
      <c r="G161" s="22"/>
      <c r="H161" s="23" t="str">
        <f aca="false">IF(E161&lt;&gt;"Fail","",IF(F161="Wrong recipient","ESCALATE: possible personal data breach - notify Team Lead / DPO immediately",IF(G161="No","Escalate to Team Lead - error not corrected","Logged - corrected before release")))</f>
        <v/>
      </c>
      <c r="I161" s="22"/>
    </row>
    <row r="162" customFormat="false" ht="15" hidden="false" customHeight="false" outlineLevel="0" collapsed="false">
      <c r="A162" s="24"/>
      <c r="B162" s="22"/>
      <c r="C162" s="25" t="str">
        <f aca="false">IF(B162="","",IFERROR(INDEX(Request_Tracker!$B$6:$B$205,MATCH(B162,Request_Tracker!$A$6:$A$205,0)),"Req ID not found"))</f>
        <v/>
      </c>
      <c r="D162" s="22"/>
      <c r="E162" s="22"/>
      <c r="F162" s="22"/>
      <c r="G162" s="22"/>
      <c r="H162" s="23" t="str">
        <f aca="false">IF(E162&lt;&gt;"Fail","",IF(F162="Wrong recipient","ESCALATE: possible personal data breach - notify Team Lead / DPO immediately",IF(G162="No","Escalate to Team Lead - error not corrected","Logged - corrected before release")))</f>
        <v/>
      </c>
      <c r="I162" s="22"/>
    </row>
    <row r="163" customFormat="false" ht="15" hidden="false" customHeight="false" outlineLevel="0" collapsed="false">
      <c r="A163" s="24"/>
      <c r="B163" s="22"/>
      <c r="C163" s="25" t="str">
        <f aca="false">IF(B163="","",IFERROR(INDEX(Request_Tracker!$B$6:$B$205,MATCH(B163,Request_Tracker!$A$6:$A$205,0)),"Req ID not found"))</f>
        <v/>
      </c>
      <c r="D163" s="22"/>
      <c r="E163" s="22"/>
      <c r="F163" s="22"/>
      <c r="G163" s="22"/>
      <c r="H163" s="23" t="str">
        <f aca="false">IF(E163&lt;&gt;"Fail","",IF(F163="Wrong recipient","ESCALATE: possible personal data breach - notify Team Lead / DPO immediately",IF(G163="No","Escalate to Team Lead - error not corrected","Logged - corrected before release")))</f>
        <v/>
      </c>
      <c r="I163" s="22"/>
    </row>
    <row r="164" customFormat="false" ht="15" hidden="false" customHeight="false" outlineLevel="0" collapsed="false">
      <c r="A164" s="24"/>
      <c r="B164" s="22"/>
      <c r="C164" s="25" t="str">
        <f aca="false">IF(B164="","",IFERROR(INDEX(Request_Tracker!$B$6:$B$205,MATCH(B164,Request_Tracker!$A$6:$A$205,0)),"Req ID not found"))</f>
        <v/>
      </c>
      <c r="D164" s="22"/>
      <c r="E164" s="22"/>
      <c r="F164" s="22"/>
      <c r="G164" s="22"/>
      <c r="H164" s="23" t="str">
        <f aca="false">IF(E164&lt;&gt;"Fail","",IF(F164="Wrong recipient","ESCALATE: possible personal data breach - notify Team Lead / DPO immediately",IF(G164="No","Escalate to Team Lead - error not corrected","Logged - corrected before release")))</f>
        <v/>
      </c>
      <c r="I164" s="22"/>
    </row>
    <row r="165" customFormat="false" ht="15" hidden="false" customHeight="false" outlineLevel="0" collapsed="false">
      <c r="A165" s="24"/>
      <c r="B165" s="22"/>
      <c r="C165" s="25" t="str">
        <f aca="false">IF(B165="","",IFERROR(INDEX(Request_Tracker!$B$6:$B$205,MATCH(B165,Request_Tracker!$A$6:$A$205,0)),"Req ID not found"))</f>
        <v/>
      </c>
      <c r="D165" s="22"/>
      <c r="E165" s="22"/>
      <c r="F165" s="22"/>
      <c r="G165" s="22"/>
      <c r="H165" s="23" t="str">
        <f aca="false">IF(E165&lt;&gt;"Fail","",IF(F165="Wrong recipient","ESCALATE: possible personal data breach - notify Team Lead / DPO immediately",IF(G165="No","Escalate to Team Lead - error not corrected","Logged - corrected before release")))</f>
        <v/>
      </c>
      <c r="I165" s="22"/>
    </row>
    <row r="166" customFormat="false" ht="15" hidden="false" customHeight="false" outlineLevel="0" collapsed="false">
      <c r="A166" s="24"/>
      <c r="B166" s="22"/>
      <c r="C166" s="25" t="str">
        <f aca="false">IF(B166="","",IFERROR(INDEX(Request_Tracker!$B$6:$B$205,MATCH(B166,Request_Tracker!$A$6:$A$205,0)),"Req ID not found"))</f>
        <v/>
      </c>
      <c r="D166" s="22"/>
      <c r="E166" s="22"/>
      <c r="F166" s="22"/>
      <c r="G166" s="22"/>
      <c r="H166" s="23" t="str">
        <f aca="false">IF(E166&lt;&gt;"Fail","",IF(F166="Wrong recipient","ESCALATE: possible personal data breach - notify Team Lead / DPO immediately",IF(G166="No","Escalate to Team Lead - error not corrected","Logged - corrected before release")))</f>
        <v/>
      </c>
      <c r="I166" s="22"/>
    </row>
    <row r="167" customFormat="false" ht="15" hidden="false" customHeight="false" outlineLevel="0" collapsed="false">
      <c r="A167" s="24"/>
      <c r="B167" s="22"/>
      <c r="C167" s="25" t="str">
        <f aca="false">IF(B167="","",IFERROR(INDEX(Request_Tracker!$B$6:$B$205,MATCH(B167,Request_Tracker!$A$6:$A$205,0)),"Req ID not found"))</f>
        <v/>
      </c>
      <c r="D167" s="22"/>
      <c r="E167" s="22"/>
      <c r="F167" s="22"/>
      <c r="G167" s="22"/>
      <c r="H167" s="23" t="str">
        <f aca="false">IF(E167&lt;&gt;"Fail","",IF(F167="Wrong recipient","ESCALATE: possible personal data breach - notify Team Lead / DPO immediately",IF(G167="No","Escalate to Team Lead - error not corrected","Logged - corrected before release")))</f>
        <v/>
      </c>
      <c r="I167" s="22"/>
    </row>
    <row r="168" customFormat="false" ht="15" hidden="false" customHeight="false" outlineLevel="0" collapsed="false">
      <c r="A168" s="24"/>
      <c r="B168" s="22"/>
      <c r="C168" s="25" t="str">
        <f aca="false">IF(B168="","",IFERROR(INDEX(Request_Tracker!$B$6:$B$205,MATCH(B168,Request_Tracker!$A$6:$A$205,0)),"Req ID not found"))</f>
        <v/>
      </c>
      <c r="D168" s="22"/>
      <c r="E168" s="22"/>
      <c r="F168" s="22"/>
      <c r="G168" s="22"/>
      <c r="H168" s="23" t="str">
        <f aca="false">IF(E168&lt;&gt;"Fail","",IF(F168="Wrong recipient","ESCALATE: possible personal data breach - notify Team Lead / DPO immediately",IF(G168="No","Escalate to Team Lead - error not corrected","Logged - corrected before release")))</f>
        <v/>
      </c>
      <c r="I168" s="22"/>
    </row>
    <row r="169" customFormat="false" ht="15" hidden="false" customHeight="false" outlineLevel="0" collapsed="false">
      <c r="A169" s="24"/>
      <c r="B169" s="22"/>
      <c r="C169" s="25" t="str">
        <f aca="false">IF(B169="","",IFERROR(INDEX(Request_Tracker!$B$6:$B$205,MATCH(B169,Request_Tracker!$A$6:$A$205,0)),"Req ID not found"))</f>
        <v/>
      </c>
      <c r="D169" s="22"/>
      <c r="E169" s="22"/>
      <c r="F169" s="22"/>
      <c r="G169" s="22"/>
      <c r="H169" s="23" t="str">
        <f aca="false">IF(E169&lt;&gt;"Fail","",IF(F169="Wrong recipient","ESCALATE: possible personal data breach - notify Team Lead / DPO immediately",IF(G169="No","Escalate to Team Lead - error not corrected","Logged - corrected before release")))</f>
        <v/>
      </c>
      <c r="I169" s="22"/>
    </row>
    <row r="170" customFormat="false" ht="15" hidden="false" customHeight="false" outlineLevel="0" collapsed="false">
      <c r="A170" s="24"/>
      <c r="B170" s="22"/>
      <c r="C170" s="25" t="str">
        <f aca="false">IF(B170="","",IFERROR(INDEX(Request_Tracker!$B$6:$B$205,MATCH(B170,Request_Tracker!$A$6:$A$205,0)),"Req ID not found"))</f>
        <v/>
      </c>
      <c r="D170" s="22"/>
      <c r="E170" s="22"/>
      <c r="F170" s="22"/>
      <c r="G170" s="22"/>
      <c r="H170" s="23" t="str">
        <f aca="false">IF(E170&lt;&gt;"Fail","",IF(F170="Wrong recipient","ESCALATE: possible personal data breach - notify Team Lead / DPO immediately",IF(G170="No","Escalate to Team Lead - error not corrected","Logged - corrected before release")))</f>
        <v/>
      </c>
      <c r="I170" s="22"/>
    </row>
    <row r="171" customFormat="false" ht="15" hidden="false" customHeight="false" outlineLevel="0" collapsed="false">
      <c r="A171" s="24"/>
      <c r="B171" s="22"/>
      <c r="C171" s="25" t="str">
        <f aca="false">IF(B171="","",IFERROR(INDEX(Request_Tracker!$B$6:$B$205,MATCH(B171,Request_Tracker!$A$6:$A$205,0)),"Req ID not found"))</f>
        <v/>
      </c>
      <c r="D171" s="22"/>
      <c r="E171" s="22"/>
      <c r="F171" s="22"/>
      <c r="G171" s="22"/>
      <c r="H171" s="23" t="str">
        <f aca="false">IF(E171&lt;&gt;"Fail","",IF(F171="Wrong recipient","ESCALATE: possible personal data breach - notify Team Lead / DPO immediately",IF(G171="No","Escalate to Team Lead - error not corrected","Logged - corrected before release")))</f>
        <v/>
      </c>
      <c r="I171" s="22"/>
    </row>
    <row r="172" customFormat="false" ht="15" hidden="false" customHeight="false" outlineLevel="0" collapsed="false">
      <c r="A172" s="24"/>
      <c r="B172" s="22"/>
      <c r="C172" s="25" t="str">
        <f aca="false">IF(B172="","",IFERROR(INDEX(Request_Tracker!$B$6:$B$205,MATCH(B172,Request_Tracker!$A$6:$A$205,0)),"Req ID not found"))</f>
        <v/>
      </c>
      <c r="D172" s="22"/>
      <c r="E172" s="22"/>
      <c r="F172" s="22"/>
      <c r="G172" s="22"/>
      <c r="H172" s="23" t="str">
        <f aca="false">IF(E172&lt;&gt;"Fail","",IF(F172="Wrong recipient","ESCALATE: possible personal data breach - notify Team Lead / DPO immediately",IF(G172="No","Escalate to Team Lead - error not corrected","Logged - corrected before release")))</f>
        <v/>
      </c>
      <c r="I172" s="22"/>
    </row>
    <row r="173" customFormat="false" ht="15" hidden="false" customHeight="false" outlineLevel="0" collapsed="false">
      <c r="A173" s="24"/>
      <c r="B173" s="22"/>
      <c r="C173" s="25" t="str">
        <f aca="false">IF(B173="","",IFERROR(INDEX(Request_Tracker!$B$6:$B$205,MATCH(B173,Request_Tracker!$A$6:$A$205,0)),"Req ID not found"))</f>
        <v/>
      </c>
      <c r="D173" s="22"/>
      <c r="E173" s="22"/>
      <c r="F173" s="22"/>
      <c r="G173" s="22"/>
      <c r="H173" s="23" t="str">
        <f aca="false">IF(E173&lt;&gt;"Fail","",IF(F173="Wrong recipient","ESCALATE: possible personal data breach - notify Team Lead / DPO immediately",IF(G173="No","Escalate to Team Lead - error not corrected","Logged - corrected before release")))</f>
        <v/>
      </c>
      <c r="I173" s="22"/>
    </row>
    <row r="174" customFormat="false" ht="15" hidden="false" customHeight="false" outlineLevel="0" collapsed="false">
      <c r="A174" s="24"/>
      <c r="B174" s="22"/>
      <c r="C174" s="25" t="str">
        <f aca="false">IF(B174="","",IFERROR(INDEX(Request_Tracker!$B$6:$B$205,MATCH(B174,Request_Tracker!$A$6:$A$205,0)),"Req ID not found"))</f>
        <v/>
      </c>
      <c r="D174" s="22"/>
      <c r="E174" s="22"/>
      <c r="F174" s="22"/>
      <c r="G174" s="22"/>
      <c r="H174" s="23" t="str">
        <f aca="false">IF(E174&lt;&gt;"Fail","",IF(F174="Wrong recipient","ESCALATE: possible personal data breach - notify Team Lead / DPO immediately",IF(G174="No","Escalate to Team Lead - error not corrected","Logged - corrected before release")))</f>
        <v/>
      </c>
      <c r="I174" s="22"/>
    </row>
    <row r="175" customFormat="false" ht="15" hidden="false" customHeight="false" outlineLevel="0" collapsed="false">
      <c r="A175" s="24"/>
      <c r="B175" s="22"/>
      <c r="C175" s="25" t="str">
        <f aca="false">IF(B175="","",IFERROR(INDEX(Request_Tracker!$B$6:$B$205,MATCH(B175,Request_Tracker!$A$6:$A$205,0)),"Req ID not found"))</f>
        <v/>
      </c>
      <c r="D175" s="22"/>
      <c r="E175" s="22"/>
      <c r="F175" s="22"/>
      <c r="G175" s="22"/>
      <c r="H175" s="23" t="str">
        <f aca="false">IF(E175&lt;&gt;"Fail","",IF(F175="Wrong recipient","ESCALATE: possible personal data breach - notify Team Lead / DPO immediately",IF(G175="No","Escalate to Team Lead - error not corrected","Logged - corrected before release")))</f>
        <v/>
      </c>
      <c r="I175" s="22"/>
    </row>
    <row r="176" customFormat="false" ht="15" hidden="false" customHeight="false" outlineLevel="0" collapsed="false">
      <c r="A176" s="24"/>
      <c r="B176" s="22"/>
      <c r="C176" s="25" t="str">
        <f aca="false">IF(B176="","",IFERROR(INDEX(Request_Tracker!$B$6:$B$205,MATCH(B176,Request_Tracker!$A$6:$A$205,0)),"Req ID not found"))</f>
        <v/>
      </c>
      <c r="D176" s="22"/>
      <c r="E176" s="22"/>
      <c r="F176" s="22"/>
      <c r="G176" s="22"/>
      <c r="H176" s="23" t="str">
        <f aca="false">IF(E176&lt;&gt;"Fail","",IF(F176="Wrong recipient","ESCALATE: possible personal data breach - notify Team Lead / DPO immediately",IF(G176="No","Escalate to Team Lead - error not corrected","Logged - corrected before release")))</f>
        <v/>
      </c>
      <c r="I176" s="22"/>
    </row>
    <row r="177" customFormat="false" ht="15" hidden="false" customHeight="false" outlineLevel="0" collapsed="false">
      <c r="A177" s="24"/>
      <c r="B177" s="22"/>
      <c r="C177" s="25" t="str">
        <f aca="false">IF(B177="","",IFERROR(INDEX(Request_Tracker!$B$6:$B$205,MATCH(B177,Request_Tracker!$A$6:$A$205,0)),"Req ID not found"))</f>
        <v/>
      </c>
      <c r="D177" s="22"/>
      <c r="E177" s="22"/>
      <c r="F177" s="22"/>
      <c r="G177" s="22"/>
      <c r="H177" s="23" t="str">
        <f aca="false">IF(E177&lt;&gt;"Fail","",IF(F177="Wrong recipient","ESCALATE: possible personal data breach - notify Team Lead / DPO immediately",IF(G177="No","Escalate to Team Lead - error not corrected","Logged - corrected before release")))</f>
        <v/>
      </c>
      <c r="I177" s="22"/>
    </row>
    <row r="178" customFormat="false" ht="15" hidden="false" customHeight="false" outlineLevel="0" collapsed="false">
      <c r="A178" s="24"/>
      <c r="B178" s="22"/>
      <c r="C178" s="25" t="str">
        <f aca="false">IF(B178="","",IFERROR(INDEX(Request_Tracker!$B$6:$B$205,MATCH(B178,Request_Tracker!$A$6:$A$205,0)),"Req ID not found"))</f>
        <v/>
      </c>
      <c r="D178" s="22"/>
      <c r="E178" s="22"/>
      <c r="F178" s="22"/>
      <c r="G178" s="22"/>
      <c r="H178" s="23" t="str">
        <f aca="false">IF(E178&lt;&gt;"Fail","",IF(F178="Wrong recipient","ESCALATE: possible personal data breach - notify Team Lead / DPO immediately",IF(G178="No","Escalate to Team Lead - error not corrected","Logged - corrected before release")))</f>
        <v/>
      </c>
      <c r="I178" s="22"/>
    </row>
    <row r="179" customFormat="false" ht="15" hidden="false" customHeight="false" outlineLevel="0" collapsed="false">
      <c r="A179" s="24"/>
      <c r="B179" s="22"/>
      <c r="C179" s="25" t="str">
        <f aca="false">IF(B179="","",IFERROR(INDEX(Request_Tracker!$B$6:$B$205,MATCH(B179,Request_Tracker!$A$6:$A$205,0)),"Req ID not found"))</f>
        <v/>
      </c>
      <c r="D179" s="22"/>
      <c r="E179" s="22"/>
      <c r="F179" s="22"/>
      <c r="G179" s="22"/>
      <c r="H179" s="23" t="str">
        <f aca="false">IF(E179&lt;&gt;"Fail","",IF(F179="Wrong recipient","ESCALATE: possible personal data breach - notify Team Lead / DPO immediately",IF(G179="No","Escalate to Team Lead - error not corrected","Logged - corrected before release")))</f>
        <v/>
      </c>
      <c r="I179" s="22"/>
    </row>
    <row r="180" customFormat="false" ht="15" hidden="false" customHeight="false" outlineLevel="0" collapsed="false">
      <c r="A180" s="24"/>
      <c r="B180" s="22"/>
      <c r="C180" s="25" t="str">
        <f aca="false">IF(B180="","",IFERROR(INDEX(Request_Tracker!$B$6:$B$205,MATCH(B180,Request_Tracker!$A$6:$A$205,0)),"Req ID not found"))</f>
        <v/>
      </c>
      <c r="D180" s="22"/>
      <c r="E180" s="22"/>
      <c r="F180" s="22"/>
      <c r="G180" s="22"/>
      <c r="H180" s="23" t="str">
        <f aca="false">IF(E180&lt;&gt;"Fail","",IF(F180="Wrong recipient","ESCALATE: possible personal data breach - notify Team Lead / DPO immediately",IF(G180="No","Escalate to Team Lead - error not corrected","Logged - corrected before release")))</f>
        <v/>
      </c>
      <c r="I180" s="22"/>
    </row>
    <row r="181" customFormat="false" ht="15" hidden="false" customHeight="false" outlineLevel="0" collapsed="false">
      <c r="A181" s="24"/>
      <c r="B181" s="22"/>
      <c r="C181" s="25" t="str">
        <f aca="false">IF(B181="","",IFERROR(INDEX(Request_Tracker!$B$6:$B$205,MATCH(B181,Request_Tracker!$A$6:$A$205,0)),"Req ID not found"))</f>
        <v/>
      </c>
      <c r="D181" s="22"/>
      <c r="E181" s="22"/>
      <c r="F181" s="22"/>
      <c r="G181" s="22"/>
      <c r="H181" s="23" t="str">
        <f aca="false">IF(E181&lt;&gt;"Fail","",IF(F181="Wrong recipient","ESCALATE: possible personal data breach - notify Team Lead / DPO immediately",IF(G181="No","Escalate to Team Lead - error not corrected","Logged - corrected before release")))</f>
        <v/>
      </c>
      <c r="I181" s="22"/>
    </row>
    <row r="182" customFormat="false" ht="15" hidden="false" customHeight="false" outlineLevel="0" collapsed="false">
      <c r="A182" s="24"/>
      <c r="B182" s="22"/>
      <c r="C182" s="25" t="str">
        <f aca="false">IF(B182="","",IFERROR(INDEX(Request_Tracker!$B$6:$B$205,MATCH(B182,Request_Tracker!$A$6:$A$205,0)),"Req ID not found"))</f>
        <v/>
      </c>
      <c r="D182" s="22"/>
      <c r="E182" s="22"/>
      <c r="F182" s="22"/>
      <c r="G182" s="22"/>
      <c r="H182" s="23" t="str">
        <f aca="false">IF(E182&lt;&gt;"Fail","",IF(F182="Wrong recipient","ESCALATE: possible personal data breach - notify Team Lead / DPO immediately",IF(G182="No","Escalate to Team Lead - error not corrected","Logged - corrected before release")))</f>
        <v/>
      </c>
      <c r="I182" s="22"/>
    </row>
    <row r="183" customFormat="false" ht="15" hidden="false" customHeight="false" outlineLevel="0" collapsed="false">
      <c r="A183" s="24"/>
      <c r="B183" s="22"/>
      <c r="C183" s="25" t="str">
        <f aca="false">IF(B183="","",IFERROR(INDEX(Request_Tracker!$B$6:$B$205,MATCH(B183,Request_Tracker!$A$6:$A$205,0)),"Req ID not found"))</f>
        <v/>
      </c>
      <c r="D183" s="22"/>
      <c r="E183" s="22"/>
      <c r="F183" s="22"/>
      <c r="G183" s="22"/>
      <c r="H183" s="23" t="str">
        <f aca="false">IF(E183&lt;&gt;"Fail","",IF(F183="Wrong recipient","ESCALATE: possible personal data breach - notify Team Lead / DPO immediately",IF(G183="No","Escalate to Team Lead - error not corrected","Logged - corrected before release")))</f>
        <v/>
      </c>
      <c r="I183" s="22"/>
    </row>
    <row r="184" customFormat="false" ht="15" hidden="false" customHeight="false" outlineLevel="0" collapsed="false">
      <c r="A184" s="24"/>
      <c r="B184" s="22"/>
      <c r="C184" s="25" t="str">
        <f aca="false">IF(B184="","",IFERROR(INDEX(Request_Tracker!$B$6:$B$205,MATCH(B184,Request_Tracker!$A$6:$A$205,0)),"Req ID not found"))</f>
        <v/>
      </c>
      <c r="D184" s="22"/>
      <c r="E184" s="22"/>
      <c r="F184" s="22"/>
      <c r="G184" s="22"/>
      <c r="H184" s="23" t="str">
        <f aca="false">IF(E184&lt;&gt;"Fail","",IF(F184="Wrong recipient","ESCALATE: possible personal data breach - notify Team Lead / DPO immediately",IF(G184="No","Escalate to Team Lead - error not corrected","Logged - corrected before release")))</f>
        <v/>
      </c>
      <c r="I184" s="22"/>
    </row>
    <row r="185" customFormat="false" ht="15" hidden="false" customHeight="false" outlineLevel="0" collapsed="false">
      <c r="A185" s="24"/>
      <c r="B185" s="22"/>
      <c r="C185" s="25" t="str">
        <f aca="false">IF(B185="","",IFERROR(INDEX(Request_Tracker!$B$6:$B$205,MATCH(B185,Request_Tracker!$A$6:$A$205,0)),"Req ID not found"))</f>
        <v/>
      </c>
      <c r="D185" s="22"/>
      <c r="E185" s="22"/>
      <c r="F185" s="22"/>
      <c r="G185" s="22"/>
      <c r="H185" s="23" t="str">
        <f aca="false">IF(E185&lt;&gt;"Fail","",IF(F185="Wrong recipient","ESCALATE: possible personal data breach - notify Team Lead / DPO immediately",IF(G185="No","Escalate to Team Lead - error not corrected","Logged - corrected before release")))</f>
        <v/>
      </c>
      <c r="I185" s="22"/>
    </row>
    <row r="186" customFormat="false" ht="15" hidden="false" customHeight="false" outlineLevel="0" collapsed="false">
      <c r="A186" s="24"/>
      <c r="B186" s="22"/>
      <c r="C186" s="25" t="str">
        <f aca="false">IF(B186="","",IFERROR(INDEX(Request_Tracker!$B$6:$B$205,MATCH(B186,Request_Tracker!$A$6:$A$205,0)),"Req ID not found"))</f>
        <v/>
      </c>
      <c r="D186" s="22"/>
      <c r="E186" s="22"/>
      <c r="F186" s="22"/>
      <c r="G186" s="22"/>
      <c r="H186" s="23" t="str">
        <f aca="false">IF(E186&lt;&gt;"Fail","",IF(F186="Wrong recipient","ESCALATE: possible personal data breach - notify Team Lead / DPO immediately",IF(G186="No","Escalate to Team Lead - error not corrected","Logged - corrected before release")))</f>
        <v/>
      </c>
      <c r="I186" s="22"/>
    </row>
    <row r="187" customFormat="false" ht="15" hidden="false" customHeight="false" outlineLevel="0" collapsed="false">
      <c r="A187" s="24"/>
      <c r="B187" s="22"/>
      <c r="C187" s="25" t="str">
        <f aca="false">IF(B187="","",IFERROR(INDEX(Request_Tracker!$B$6:$B$205,MATCH(B187,Request_Tracker!$A$6:$A$205,0)),"Req ID not found"))</f>
        <v/>
      </c>
      <c r="D187" s="22"/>
      <c r="E187" s="22"/>
      <c r="F187" s="22"/>
      <c r="G187" s="22"/>
      <c r="H187" s="23" t="str">
        <f aca="false">IF(E187&lt;&gt;"Fail","",IF(F187="Wrong recipient","ESCALATE: possible personal data breach - notify Team Lead / DPO immediately",IF(G187="No","Escalate to Team Lead - error not corrected","Logged - corrected before release")))</f>
        <v/>
      </c>
      <c r="I187" s="22"/>
    </row>
    <row r="188" customFormat="false" ht="15" hidden="false" customHeight="false" outlineLevel="0" collapsed="false">
      <c r="A188" s="24"/>
      <c r="B188" s="22"/>
      <c r="C188" s="25" t="str">
        <f aca="false">IF(B188="","",IFERROR(INDEX(Request_Tracker!$B$6:$B$205,MATCH(B188,Request_Tracker!$A$6:$A$205,0)),"Req ID not found"))</f>
        <v/>
      </c>
      <c r="D188" s="22"/>
      <c r="E188" s="22"/>
      <c r="F188" s="22"/>
      <c r="G188" s="22"/>
      <c r="H188" s="23" t="str">
        <f aca="false">IF(E188&lt;&gt;"Fail","",IF(F188="Wrong recipient","ESCALATE: possible personal data breach - notify Team Lead / DPO immediately",IF(G188="No","Escalate to Team Lead - error not corrected","Logged - corrected before release")))</f>
        <v/>
      </c>
      <c r="I188" s="22"/>
    </row>
    <row r="189" customFormat="false" ht="15" hidden="false" customHeight="false" outlineLevel="0" collapsed="false">
      <c r="A189" s="24"/>
      <c r="B189" s="22"/>
      <c r="C189" s="25" t="str">
        <f aca="false">IF(B189="","",IFERROR(INDEX(Request_Tracker!$B$6:$B$205,MATCH(B189,Request_Tracker!$A$6:$A$205,0)),"Req ID not found"))</f>
        <v/>
      </c>
      <c r="D189" s="22"/>
      <c r="E189" s="22"/>
      <c r="F189" s="22"/>
      <c r="G189" s="22"/>
      <c r="H189" s="23" t="str">
        <f aca="false">IF(E189&lt;&gt;"Fail","",IF(F189="Wrong recipient","ESCALATE: possible personal data breach - notify Team Lead / DPO immediately",IF(G189="No","Escalate to Team Lead - error not corrected","Logged - corrected before release")))</f>
        <v/>
      </c>
      <c r="I189" s="22"/>
    </row>
    <row r="190" customFormat="false" ht="15" hidden="false" customHeight="false" outlineLevel="0" collapsed="false">
      <c r="A190" s="24"/>
      <c r="B190" s="22"/>
      <c r="C190" s="25" t="str">
        <f aca="false">IF(B190="","",IFERROR(INDEX(Request_Tracker!$B$6:$B$205,MATCH(B190,Request_Tracker!$A$6:$A$205,0)),"Req ID not found"))</f>
        <v/>
      </c>
      <c r="D190" s="22"/>
      <c r="E190" s="22"/>
      <c r="F190" s="22"/>
      <c r="G190" s="22"/>
      <c r="H190" s="23" t="str">
        <f aca="false">IF(E190&lt;&gt;"Fail","",IF(F190="Wrong recipient","ESCALATE: possible personal data breach - notify Team Lead / DPO immediately",IF(G190="No","Escalate to Team Lead - error not corrected","Logged - corrected before release")))</f>
        <v/>
      </c>
      <c r="I190" s="22"/>
    </row>
    <row r="191" customFormat="false" ht="15" hidden="false" customHeight="false" outlineLevel="0" collapsed="false">
      <c r="A191" s="24"/>
      <c r="B191" s="22"/>
      <c r="C191" s="25" t="str">
        <f aca="false">IF(B191="","",IFERROR(INDEX(Request_Tracker!$B$6:$B$205,MATCH(B191,Request_Tracker!$A$6:$A$205,0)),"Req ID not found"))</f>
        <v/>
      </c>
      <c r="D191" s="22"/>
      <c r="E191" s="22"/>
      <c r="F191" s="22"/>
      <c r="G191" s="22"/>
      <c r="H191" s="23" t="str">
        <f aca="false">IF(E191&lt;&gt;"Fail","",IF(F191="Wrong recipient","ESCALATE: possible personal data breach - notify Team Lead / DPO immediately",IF(G191="No","Escalate to Team Lead - error not corrected","Logged - corrected before release")))</f>
        <v/>
      </c>
      <c r="I191" s="22"/>
    </row>
    <row r="192" customFormat="false" ht="15" hidden="false" customHeight="false" outlineLevel="0" collapsed="false">
      <c r="A192" s="24"/>
      <c r="B192" s="22"/>
      <c r="C192" s="25" t="str">
        <f aca="false">IF(B192="","",IFERROR(INDEX(Request_Tracker!$B$6:$B$205,MATCH(B192,Request_Tracker!$A$6:$A$205,0)),"Req ID not found"))</f>
        <v/>
      </c>
      <c r="D192" s="22"/>
      <c r="E192" s="22"/>
      <c r="F192" s="22"/>
      <c r="G192" s="22"/>
      <c r="H192" s="23" t="str">
        <f aca="false">IF(E192&lt;&gt;"Fail","",IF(F192="Wrong recipient","ESCALATE: possible personal data breach - notify Team Lead / DPO immediately",IF(G192="No","Escalate to Team Lead - error not corrected","Logged - corrected before release")))</f>
        <v/>
      </c>
      <c r="I192" s="22"/>
    </row>
    <row r="193" customFormat="false" ht="15" hidden="false" customHeight="false" outlineLevel="0" collapsed="false">
      <c r="A193" s="24"/>
      <c r="B193" s="22"/>
      <c r="C193" s="25" t="str">
        <f aca="false">IF(B193="","",IFERROR(INDEX(Request_Tracker!$B$6:$B$205,MATCH(B193,Request_Tracker!$A$6:$A$205,0)),"Req ID not found"))</f>
        <v/>
      </c>
      <c r="D193" s="22"/>
      <c r="E193" s="22"/>
      <c r="F193" s="22"/>
      <c r="G193" s="22"/>
      <c r="H193" s="23" t="str">
        <f aca="false">IF(E193&lt;&gt;"Fail","",IF(F193="Wrong recipient","ESCALATE: possible personal data breach - notify Team Lead / DPO immediately",IF(G193="No","Escalate to Team Lead - error not corrected","Logged - corrected before release")))</f>
        <v/>
      </c>
      <c r="I193" s="22"/>
    </row>
    <row r="194" customFormat="false" ht="15" hidden="false" customHeight="false" outlineLevel="0" collapsed="false">
      <c r="A194" s="24"/>
      <c r="B194" s="22"/>
      <c r="C194" s="25" t="str">
        <f aca="false">IF(B194="","",IFERROR(INDEX(Request_Tracker!$B$6:$B$205,MATCH(B194,Request_Tracker!$A$6:$A$205,0)),"Req ID not found"))</f>
        <v/>
      </c>
      <c r="D194" s="22"/>
      <c r="E194" s="22"/>
      <c r="F194" s="22"/>
      <c r="G194" s="22"/>
      <c r="H194" s="23" t="str">
        <f aca="false">IF(E194&lt;&gt;"Fail","",IF(F194="Wrong recipient","ESCALATE: possible personal data breach - notify Team Lead / DPO immediately",IF(G194="No","Escalate to Team Lead - error not corrected","Logged - corrected before release")))</f>
        <v/>
      </c>
      <c r="I194" s="22"/>
    </row>
    <row r="195" customFormat="false" ht="15" hidden="false" customHeight="false" outlineLevel="0" collapsed="false">
      <c r="A195" s="24"/>
      <c r="B195" s="22"/>
      <c r="C195" s="25" t="str">
        <f aca="false">IF(B195="","",IFERROR(INDEX(Request_Tracker!$B$6:$B$205,MATCH(B195,Request_Tracker!$A$6:$A$205,0)),"Req ID not found"))</f>
        <v/>
      </c>
      <c r="D195" s="22"/>
      <c r="E195" s="22"/>
      <c r="F195" s="22"/>
      <c r="G195" s="22"/>
      <c r="H195" s="23" t="str">
        <f aca="false">IF(E195&lt;&gt;"Fail","",IF(F195="Wrong recipient","ESCALATE: possible personal data breach - notify Team Lead / DPO immediately",IF(G195="No","Escalate to Team Lead - error not corrected","Logged - corrected before release")))</f>
        <v/>
      </c>
      <c r="I195" s="22"/>
    </row>
    <row r="196" customFormat="false" ht="15" hidden="false" customHeight="false" outlineLevel="0" collapsed="false">
      <c r="A196" s="24"/>
      <c r="B196" s="22"/>
      <c r="C196" s="25" t="str">
        <f aca="false">IF(B196="","",IFERROR(INDEX(Request_Tracker!$B$6:$B$205,MATCH(B196,Request_Tracker!$A$6:$A$205,0)),"Req ID not found"))</f>
        <v/>
      </c>
      <c r="D196" s="22"/>
      <c r="E196" s="22"/>
      <c r="F196" s="22"/>
      <c r="G196" s="22"/>
      <c r="H196" s="23" t="str">
        <f aca="false">IF(E196&lt;&gt;"Fail","",IF(F196="Wrong recipient","ESCALATE: possible personal data breach - notify Team Lead / DPO immediately",IF(G196="No","Escalate to Team Lead - error not corrected","Logged - corrected before release")))</f>
        <v/>
      </c>
      <c r="I196" s="22"/>
    </row>
    <row r="197" customFormat="false" ht="15" hidden="false" customHeight="false" outlineLevel="0" collapsed="false">
      <c r="A197" s="24"/>
      <c r="B197" s="22"/>
      <c r="C197" s="25" t="str">
        <f aca="false">IF(B197="","",IFERROR(INDEX(Request_Tracker!$B$6:$B$205,MATCH(B197,Request_Tracker!$A$6:$A$205,0)),"Req ID not found"))</f>
        <v/>
      </c>
      <c r="D197" s="22"/>
      <c r="E197" s="22"/>
      <c r="F197" s="22"/>
      <c r="G197" s="22"/>
      <c r="H197" s="23" t="str">
        <f aca="false">IF(E197&lt;&gt;"Fail","",IF(F197="Wrong recipient","ESCALATE: possible personal data breach - notify Team Lead / DPO immediately",IF(G197="No","Escalate to Team Lead - error not corrected","Logged - corrected before release")))</f>
        <v/>
      </c>
      <c r="I197" s="22"/>
    </row>
    <row r="198" customFormat="false" ht="15" hidden="false" customHeight="false" outlineLevel="0" collapsed="false">
      <c r="A198" s="24"/>
      <c r="B198" s="22"/>
      <c r="C198" s="25" t="str">
        <f aca="false">IF(B198="","",IFERROR(INDEX(Request_Tracker!$B$6:$B$205,MATCH(B198,Request_Tracker!$A$6:$A$205,0)),"Req ID not found"))</f>
        <v/>
      </c>
      <c r="D198" s="22"/>
      <c r="E198" s="22"/>
      <c r="F198" s="22"/>
      <c r="G198" s="22"/>
      <c r="H198" s="23" t="str">
        <f aca="false">IF(E198&lt;&gt;"Fail","",IF(F198="Wrong recipient","ESCALATE: possible personal data breach - notify Team Lead / DPO immediately",IF(G198="No","Escalate to Team Lead - error not corrected","Logged - corrected before release")))</f>
        <v/>
      </c>
      <c r="I198" s="22"/>
    </row>
    <row r="199" customFormat="false" ht="15" hidden="false" customHeight="false" outlineLevel="0" collapsed="false">
      <c r="A199" s="24"/>
      <c r="B199" s="22"/>
      <c r="C199" s="25" t="str">
        <f aca="false">IF(B199="","",IFERROR(INDEX(Request_Tracker!$B$6:$B$205,MATCH(B199,Request_Tracker!$A$6:$A$205,0)),"Req ID not found"))</f>
        <v/>
      </c>
      <c r="D199" s="22"/>
      <c r="E199" s="22"/>
      <c r="F199" s="22"/>
      <c r="G199" s="22"/>
      <c r="H199" s="23" t="str">
        <f aca="false">IF(E199&lt;&gt;"Fail","",IF(F199="Wrong recipient","ESCALATE: possible personal data breach - notify Team Lead / DPO immediately",IF(G199="No","Escalate to Team Lead - error not corrected","Logged - corrected before release")))</f>
        <v/>
      </c>
      <c r="I199" s="22"/>
    </row>
    <row r="200" customFormat="false" ht="15" hidden="false" customHeight="false" outlineLevel="0" collapsed="false">
      <c r="A200" s="24"/>
      <c r="B200" s="22"/>
      <c r="C200" s="25" t="str">
        <f aca="false">IF(B200="","",IFERROR(INDEX(Request_Tracker!$B$6:$B$205,MATCH(B200,Request_Tracker!$A$6:$A$205,0)),"Req ID not found"))</f>
        <v/>
      </c>
      <c r="D200" s="22"/>
      <c r="E200" s="22"/>
      <c r="F200" s="22"/>
      <c r="G200" s="22"/>
      <c r="H200" s="23" t="str">
        <f aca="false">IF(E200&lt;&gt;"Fail","",IF(F200="Wrong recipient","ESCALATE: possible personal data breach - notify Team Lead / DPO immediately",IF(G200="No","Escalate to Team Lead - error not corrected","Logged - corrected before release")))</f>
        <v/>
      </c>
      <c r="I200" s="22"/>
    </row>
    <row r="201" customFormat="false" ht="15" hidden="false" customHeight="false" outlineLevel="0" collapsed="false">
      <c r="A201" s="24"/>
      <c r="B201" s="22"/>
      <c r="C201" s="25" t="str">
        <f aca="false">IF(B201="","",IFERROR(INDEX(Request_Tracker!$B$6:$B$205,MATCH(B201,Request_Tracker!$A$6:$A$205,0)),"Req ID not found"))</f>
        <v/>
      </c>
      <c r="D201" s="22"/>
      <c r="E201" s="22"/>
      <c r="F201" s="22"/>
      <c r="G201" s="22"/>
      <c r="H201" s="23" t="str">
        <f aca="false">IF(E201&lt;&gt;"Fail","",IF(F201="Wrong recipient","ESCALATE: possible personal data breach - notify Team Lead / DPO immediately",IF(G201="No","Escalate to Team Lead - error not corrected","Logged - corrected before release")))</f>
        <v/>
      </c>
      <c r="I201" s="22"/>
    </row>
    <row r="202" customFormat="false" ht="15" hidden="false" customHeight="false" outlineLevel="0" collapsed="false">
      <c r="A202" s="24"/>
      <c r="B202" s="22"/>
      <c r="C202" s="25" t="str">
        <f aca="false">IF(B202="","",IFERROR(INDEX(Request_Tracker!$B$6:$B$205,MATCH(B202,Request_Tracker!$A$6:$A$205,0)),"Req ID not found"))</f>
        <v/>
      </c>
      <c r="D202" s="22"/>
      <c r="E202" s="22"/>
      <c r="F202" s="22"/>
      <c r="G202" s="22"/>
      <c r="H202" s="23" t="str">
        <f aca="false">IF(E202&lt;&gt;"Fail","",IF(F202="Wrong recipient","ESCALATE: possible personal data breach - notify Team Lead / DPO immediately",IF(G202="No","Escalate to Team Lead - error not corrected","Logged - corrected before release")))</f>
        <v/>
      </c>
      <c r="I202" s="22"/>
    </row>
    <row r="203" customFormat="false" ht="15" hidden="false" customHeight="false" outlineLevel="0" collapsed="false">
      <c r="A203" s="24"/>
      <c r="B203" s="22"/>
      <c r="C203" s="25" t="str">
        <f aca="false">IF(B203="","",IFERROR(INDEX(Request_Tracker!$B$6:$B$205,MATCH(B203,Request_Tracker!$A$6:$A$205,0)),"Req ID not found"))</f>
        <v/>
      </c>
      <c r="D203" s="22"/>
      <c r="E203" s="22"/>
      <c r="F203" s="22"/>
      <c r="G203" s="22"/>
      <c r="H203" s="23" t="str">
        <f aca="false">IF(E203&lt;&gt;"Fail","",IF(F203="Wrong recipient","ESCALATE: possible personal data breach - notify Team Lead / DPO immediately",IF(G203="No","Escalate to Team Lead - error not corrected","Logged - corrected before release")))</f>
        <v/>
      </c>
      <c r="I203" s="22"/>
    </row>
    <row r="204" customFormat="false" ht="15" hidden="false" customHeight="false" outlineLevel="0" collapsed="false">
      <c r="A204" s="24"/>
      <c r="B204" s="22"/>
      <c r="C204" s="25" t="str">
        <f aca="false">IF(B204="","",IFERROR(INDEX(Request_Tracker!$B$6:$B$205,MATCH(B204,Request_Tracker!$A$6:$A$205,0)),"Req ID not found"))</f>
        <v/>
      </c>
      <c r="D204" s="22"/>
      <c r="E204" s="22"/>
      <c r="F204" s="22"/>
      <c r="G204" s="22"/>
      <c r="H204" s="23" t="str">
        <f aca="false">IF(E204&lt;&gt;"Fail","",IF(F204="Wrong recipient","ESCALATE: possible personal data breach - notify Team Lead / DPO immediately",IF(G204="No","Escalate to Team Lead - error not corrected","Logged - corrected before release")))</f>
        <v/>
      </c>
      <c r="I204" s="22"/>
    </row>
  </sheetData>
  <conditionalFormatting sqref="H5:H204">
    <cfRule type="expression" priority="2" aboveAverage="0" equalAverage="0" bottom="0" percent="0" rank="0" text="" dxfId="12">
      <formula>ISNUMBER(SEARCH("escalate",H5))</formula>
    </cfRule>
    <cfRule type="expression" priority="3" aboveAverage="0" equalAverage="0" bottom="0" percent="0" rank="0" text="" dxfId="14">
      <formula>ISNUMBER(SEARCH("Logged",H5))</formula>
    </cfRule>
  </conditionalFormatting>
  <conditionalFormatting sqref="E5:E204">
    <cfRule type="expression" priority="4" aboveAverage="0" equalAverage="0" bottom="0" percent="0" rank="0" text="" dxfId="12">
      <formula>ISNUMBER(SEARCH("Fail",E5))</formula>
    </cfRule>
    <cfRule type="expression" priority="5" aboveAverage="0" equalAverage="0" bottom="0" percent="0" rank="0" text="" dxfId="13">
      <formula>ISNUMBER(SEARCH("Pass",E5))</formula>
    </cfRule>
  </conditionalFormatting>
  <dataValidations count="5">
    <dataValidation allowBlank="true" error="Enter a valid date" errorStyle="stop" operator="greaterThan" showDropDown="false" showErrorMessage="true" showInputMessage="false" sqref="A5:A204" type="date">
      <formula1>43831</formula1>
      <formula2>0</formula2>
    </dataValidation>
    <dataValidation allowBlank="true" errorStyle="stop" operator="between" showDropDown="false" showErrorMessage="true" showInputMessage="false" sqref="B5:B204" type="list">
      <formula1>Request_Tracker!$A$6:$A$205</formula1>
      <formula2>0</formula2>
    </dataValidation>
    <dataValidation allowBlank="true" errorStyle="stop" operator="between" showDropDown="false" showErrorMessage="true" showInputMessage="false" sqref="E5:E204" type="list">
      <formula1>"Pass,Fail"</formula1>
      <formula2>0</formula2>
    </dataValidation>
    <dataValidation allowBlank="true" errorStyle="stop" operator="between" showDropDown="false" showErrorMessage="true" showInputMessage="false" sqref="F5:F204" type="list">
      <formula1>"Wrong name/date,Wrong salary figure,Wrong recipient,Missing approval,Template error,Other"</formula1>
      <formula2>0</formula2>
    </dataValidation>
    <dataValidation allowBlank="true" errorStyle="stop" operator="between" showDropDown="false" showErrorMessage="true" showInputMessage="false" sqref="G5:G20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J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4" min="3" style="0" width="16"/>
    <col collapsed="false" customWidth="true" hidden="false" outlineLevel="0" max="5" min="5" style="0" width="14"/>
    <col collapsed="false" customWidth="true" hidden="false" outlineLevel="0" max="6" min="6" style="0" width="22"/>
    <col collapsed="false" customWidth="true" hidden="false" outlineLevel="0" max="7" min="7" style="0" width="56"/>
    <col collapsed="false" customWidth="true" hidden="false" outlineLevel="0" max="8" min="8" style="0" width="14"/>
    <col collapsed="false" customWidth="true" hidden="false" outlineLevel="0" max="9" min="9" style="0" width="34"/>
    <col collapsed="false" customWidth="true" hidden="false" outlineLevel="0" max="10" min="10" style="0" width="16"/>
  </cols>
  <sheetData>
    <row r="1" customFormat="false" ht="19.7" hidden="false" customHeight="false" outlineLevel="0" collapsed="false">
      <c r="A1" s="1" t="s">
        <v>216</v>
      </c>
    </row>
    <row r="2" customFormat="false" ht="15" hidden="false" customHeight="false" outlineLevel="0" collapsed="false">
      <c r="A2" s="2" t="s">
        <v>217</v>
      </c>
    </row>
    <row r="3" customFormat="false" ht="17.35" hidden="false" customHeight="false" outlineLevel="0" collapsed="false">
      <c r="A3" s="9" t="s">
        <v>218</v>
      </c>
      <c r="E3" s="36" t="n">
        <f aca="false">COUNTIFS(Request_Tracker!$K$6:$K$205,"Open - within SLA",Request_Tracker!$G$6:$G$205,"&lt;="&amp;WORKDAY(Lists!$E$4,1,Lists!$L$4:$L$13))</f>
        <v>3</v>
      </c>
    </row>
    <row r="5" customFormat="false" ht="31.5" hidden="false" customHeight="true" outlineLevel="0" collapsed="false">
      <c r="A5" s="11" t="s">
        <v>219</v>
      </c>
      <c r="B5" s="11" t="s">
        <v>220</v>
      </c>
      <c r="C5" s="11" t="s">
        <v>221</v>
      </c>
      <c r="D5" s="11" t="s">
        <v>222</v>
      </c>
      <c r="E5" s="11" t="s">
        <v>223</v>
      </c>
      <c r="F5" s="11" t="s">
        <v>224</v>
      </c>
      <c r="G5" s="11" t="s">
        <v>225</v>
      </c>
      <c r="H5" s="11" t="s">
        <v>226</v>
      </c>
      <c r="I5" s="11" t="s">
        <v>227</v>
      </c>
      <c r="J5" s="11" t="s">
        <v>228</v>
      </c>
    </row>
    <row r="6" customFormat="false" ht="23.85" hidden="false" customHeight="false" outlineLevel="0" collapsed="false">
      <c r="A6" s="24" t="n">
        <v>46295</v>
      </c>
      <c r="B6" s="22" t="s">
        <v>229</v>
      </c>
      <c r="C6" s="22" t="s">
        <v>94</v>
      </c>
      <c r="D6" s="22" t="s">
        <v>100</v>
      </c>
      <c r="E6" s="22" t="n">
        <v>3</v>
      </c>
      <c r="F6" s="22" t="s">
        <v>124</v>
      </c>
      <c r="G6" s="37" t="s">
        <v>230</v>
      </c>
      <c r="H6" s="22" t="s">
        <v>197</v>
      </c>
      <c r="I6" s="22" t="s">
        <v>231</v>
      </c>
      <c r="J6" s="22" t="s">
        <v>197</v>
      </c>
    </row>
    <row r="7" customFormat="false" ht="15" hidden="false" customHeight="false" outlineLevel="0" collapsed="false">
      <c r="A7" s="24" t="n">
        <v>46296</v>
      </c>
      <c r="B7" s="22" t="s">
        <v>229</v>
      </c>
      <c r="C7" s="22" t="s">
        <v>100</v>
      </c>
      <c r="D7" s="22" t="s">
        <v>94</v>
      </c>
      <c r="E7" s="22" t="n">
        <v>4</v>
      </c>
      <c r="F7" s="22" t="s">
        <v>232</v>
      </c>
      <c r="G7" s="37" t="s">
        <v>233</v>
      </c>
      <c r="H7" s="22" t="s">
        <v>200</v>
      </c>
      <c r="I7" s="22" t="s">
        <v>234</v>
      </c>
      <c r="J7" s="22" t="s">
        <v>197</v>
      </c>
    </row>
    <row r="8" customFormat="false" ht="23.85" hidden="false" customHeight="false" outlineLevel="0" collapsed="false">
      <c r="A8" s="24" t="n">
        <v>46297</v>
      </c>
      <c r="B8" s="22" t="s">
        <v>235</v>
      </c>
      <c r="C8" s="22" t="s">
        <v>94</v>
      </c>
      <c r="D8" s="22" t="s">
        <v>100</v>
      </c>
      <c r="E8" s="22" t="n">
        <v>4</v>
      </c>
      <c r="F8" s="22" t="s">
        <v>131</v>
      </c>
      <c r="G8" s="37" t="s">
        <v>236</v>
      </c>
      <c r="H8" s="22" t="s">
        <v>197</v>
      </c>
      <c r="I8" s="22" t="s">
        <v>231</v>
      </c>
      <c r="J8" s="22" t="s">
        <v>200</v>
      </c>
    </row>
    <row r="9" customFormat="false" ht="15" hidden="false" customHeight="false" outlineLevel="0" collapsed="false">
      <c r="A9" s="24"/>
      <c r="B9" s="22"/>
      <c r="C9" s="22"/>
      <c r="D9" s="22"/>
      <c r="E9" s="22"/>
      <c r="F9" s="22"/>
      <c r="G9" s="37"/>
      <c r="H9" s="22"/>
      <c r="I9" s="22"/>
      <c r="J9" s="22"/>
    </row>
    <row r="10" customFormat="false" ht="15" hidden="false" customHeight="false" outlineLevel="0" collapsed="false">
      <c r="A10" s="24"/>
      <c r="B10" s="22"/>
      <c r="C10" s="22"/>
      <c r="D10" s="22"/>
      <c r="E10" s="22"/>
      <c r="F10" s="22"/>
      <c r="G10" s="37"/>
      <c r="H10" s="22"/>
      <c r="I10" s="22"/>
      <c r="J10" s="22"/>
    </row>
    <row r="11" customFormat="false" ht="15" hidden="false" customHeight="false" outlineLevel="0" collapsed="false">
      <c r="A11" s="24"/>
      <c r="B11" s="22"/>
      <c r="C11" s="22"/>
      <c r="D11" s="22"/>
      <c r="E11" s="22"/>
      <c r="F11" s="22"/>
      <c r="G11" s="37"/>
      <c r="H11" s="22"/>
      <c r="I11" s="22"/>
      <c r="J11" s="22"/>
    </row>
    <row r="12" customFormat="false" ht="15" hidden="false" customHeight="false" outlineLevel="0" collapsed="false">
      <c r="A12" s="24"/>
      <c r="B12" s="22"/>
      <c r="C12" s="22"/>
      <c r="D12" s="22"/>
      <c r="E12" s="22"/>
      <c r="F12" s="22"/>
      <c r="G12" s="37"/>
      <c r="H12" s="22"/>
      <c r="I12" s="22"/>
      <c r="J12" s="22"/>
    </row>
    <row r="13" customFormat="false" ht="15" hidden="false" customHeight="false" outlineLevel="0" collapsed="false">
      <c r="A13" s="24"/>
      <c r="B13" s="22"/>
      <c r="C13" s="22"/>
      <c r="D13" s="22"/>
      <c r="E13" s="22"/>
      <c r="F13" s="22"/>
      <c r="G13" s="37"/>
      <c r="H13" s="22"/>
      <c r="I13" s="22"/>
      <c r="J13" s="22"/>
    </row>
    <row r="14" customFormat="false" ht="15" hidden="false" customHeight="false" outlineLevel="0" collapsed="false">
      <c r="A14" s="24"/>
      <c r="B14" s="22"/>
      <c r="C14" s="22"/>
      <c r="D14" s="22"/>
      <c r="E14" s="22"/>
      <c r="F14" s="22"/>
      <c r="G14" s="37"/>
      <c r="H14" s="22"/>
      <c r="I14" s="22"/>
      <c r="J14" s="22"/>
    </row>
    <row r="15" customFormat="false" ht="15" hidden="false" customHeight="false" outlineLevel="0" collapsed="false">
      <c r="A15" s="24"/>
      <c r="B15" s="22"/>
      <c r="C15" s="22"/>
      <c r="D15" s="22"/>
      <c r="E15" s="22"/>
      <c r="F15" s="22"/>
      <c r="G15" s="37"/>
      <c r="H15" s="22"/>
      <c r="I15" s="22"/>
      <c r="J15" s="22"/>
    </row>
    <row r="16" customFormat="false" ht="15" hidden="false" customHeight="false" outlineLevel="0" collapsed="false">
      <c r="A16" s="24"/>
      <c r="B16" s="22"/>
      <c r="C16" s="22"/>
      <c r="D16" s="22"/>
      <c r="E16" s="22"/>
      <c r="F16" s="22"/>
      <c r="G16" s="37"/>
      <c r="H16" s="22"/>
      <c r="I16" s="22"/>
      <c r="J16" s="22"/>
    </row>
    <row r="17" customFormat="false" ht="15" hidden="false" customHeight="false" outlineLevel="0" collapsed="false">
      <c r="A17" s="24"/>
      <c r="B17" s="22"/>
      <c r="C17" s="22"/>
      <c r="D17" s="22"/>
      <c r="E17" s="22"/>
      <c r="F17" s="22"/>
      <c r="G17" s="37"/>
      <c r="H17" s="22"/>
      <c r="I17" s="22"/>
      <c r="J17" s="22"/>
    </row>
    <row r="18" customFormat="false" ht="15" hidden="false" customHeight="false" outlineLevel="0" collapsed="false">
      <c r="A18" s="24"/>
      <c r="B18" s="22"/>
      <c r="C18" s="22"/>
      <c r="D18" s="22"/>
      <c r="E18" s="22"/>
      <c r="F18" s="22"/>
      <c r="G18" s="37"/>
      <c r="H18" s="22"/>
      <c r="I18" s="22"/>
      <c r="J18" s="22"/>
    </row>
    <row r="19" customFormat="false" ht="15" hidden="false" customHeight="false" outlineLevel="0" collapsed="false">
      <c r="A19" s="24"/>
      <c r="B19" s="22"/>
      <c r="C19" s="22"/>
      <c r="D19" s="22"/>
      <c r="E19" s="22"/>
      <c r="F19" s="22"/>
      <c r="G19" s="37"/>
      <c r="H19" s="22"/>
      <c r="I19" s="22"/>
      <c r="J19" s="22"/>
    </row>
    <row r="20" customFormat="false" ht="15" hidden="false" customHeight="false" outlineLevel="0" collapsed="false">
      <c r="A20" s="24"/>
      <c r="B20" s="22"/>
      <c r="C20" s="22"/>
      <c r="D20" s="22"/>
      <c r="E20" s="22"/>
      <c r="F20" s="22"/>
      <c r="G20" s="37"/>
      <c r="H20" s="22"/>
      <c r="I20" s="22"/>
      <c r="J20" s="22"/>
    </row>
    <row r="21" customFormat="false" ht="15" hidden="false" customHeight="false" outlineLevel="0" collapsed="false">
      <c r="A21" s="24"/>
      <c r="B21" s="22"/>
      <c r="C21" s="22"/>
      <c r="D21" s="22"/>
      <c r="E21" s="22"/>
      <c r="F21" s="22"/>
      <c r="G21" s="37"/>
      <c r="H21" s="22"/>
      <c r="I21" s="22"/>
      <c r="J21" s="22"/>
    </row>
    <row r="22" customFormat="false" ht="15" hidden="false" customHeight="false" outlineLevel="0" collapsed="false">
      <c r="A22" s="24"/>
      <c r="B22" s="22"/>
      <c r="C22" s="22"/>
      <c r="D22" s="22"/>
      <c r="E22" s="22"/>
      <c r="F22" s="22"/>
      <c r="G22" s="37"/>
      <c r="H22" s="22"/>
      <c r="I22" s="22"/>
      <c r="J22" s="22"/>
    </row>
    <row r="23" customFormat="false" ht="15" hidden="false" customHeight="false" outlineLevel="0" collapsed="false">
      <c r="A23" s="24"/>
      <c r="B23" s="22"/>
      <c r="C23" s="22"/>
      <c r="D23" s="22"/>
      <c r="E23" s="22"/>
      <c r="F23" s="22"/>
      <c r="G23" s="37"/>
      <c r="H23" s="22"/>
      <c r="I23" s="22"/>
      <c r="J23" s="22"/>
    </row>
    <row r="24" customFormat="false" ht="15" hidden="false" customHeight="false" outlineLevel="0" collapsed="false">
      <c r="A24" s="24"/>
      <c r="B24" s="22"/>
      <c r="C24" s="22"/>
      <c r="D24" s="22"/>
      <c r="E24" s="22"/>
      <c r="F24" s="22"/>
      <c r="G24" s="37"/>
      <c r="H24" s="22"/>
      <c r="I24" s="22"/>
      <c r="J24" s="22"/>
    </row>
    <row r="25" customFormat="false" ht="15" hidden="false" customHeight="false" outlineLevel="0" collapsed="false">
      <c r="A25" s="24"/>
      <c r="B25" s="22"/>
      <c r="C25" s="22"/>
      <c r="D25" s="22"/>
      <c r="E25" s="22"/>
      <c r="F25" s="22"/>
      <c r="G25" s="37"/>
      <c r="H25" s="22"/>
      <c r="I25" s="22"/>
      <c r="J25" s="22"/>
    </row>
    <row r="26" customFormat="false" ht="15" hidden="false" customHeight="false" outlineLevel="0" collapsed="false">
      <c r="A26" s="24"/>
      <c r="B26" s="22"/>
      <c r="C26" s="22"/>
      <c r="D26" s="22"/>
      <c r="E26" s="22"/>
      <c r="F26" s="22"/>
      <c r="G26" s="37"/>
      <c r="H26" s="22"/>
      <c r="I26" s="22"/>
      <c r="J26" s="22"/>
    </row>
    <row r="27" customFormat="false" ht="15" hidden="false" customHeight="false" outlineLevel="0" collapsed="false">
      <c r="A27" s="24"/>
      <c r="B27" s="22"/>
      <c r="C27" s="22"/>
      <c r="D27" s="22"/>
      <c r="E27" s="22"/>
      <c r="F27" s="22"/>
      <c r="G27" s="37"/>
      <c r="H27" s="22"/>
      <c r="I27" s="22"/>
      <c r="J27" s="22"/>
    </row>
    <row r="28" customFormat="false" ht="15" hidden="false" customHeight="false" outlineLevel="0" collapsed="false">
      <c r="A28" s="24"/>
      <c r="B28" s="22"/>
      <c r="C28" s="22"/>
      <c r="D28" s="22"/>
      <c r="E28" s="22"/>
      <c r="F28" s="22"/>
      <c r="G28" s="37"/>
      <c r="H28" s="22"/>
      <c r="I28" s="22"/>
      <c r="J28" s="22"/>
    </row>
    <row r="29" customFormat="false" ht="15" hidden="false" customHeight="false" outlineLevel="0" collapsed="false">
      <c r="A29" s="24"/>
      <c r="B29" s="22"/>
      <c r="C29" s="22"/>
      <c r="D29" s="22"/>
      <c r="E29" s="22"/>
      <c r="F29" s="22"/>
      <c r="G29" s="37"/>
      <c r="H29" s="22"/>
      <c r="I29" s="22"/>
      <c r="J29" s="22"/>
    </row>
    <row r="30" customFormat="false" ht="15" hidden="false" customHeight="false" outlineLevel="0" collapsed="false">
      <c r="A30" s="24"/>
      <c r="B30" s="22"/>
      <c r="C30" s="22"/>
      <c r="D30" s="22"/>
      <c r="E30" s="22"/>
      <c r="F30" s="22"/>
      <c r="G30" s="37"/>
      <c r="H30" s="22"/>
      <c r="I30" s="22"/>
      <c r="J30" s="22"/>
    </row>
    <row r="31" customFormat="false" ht="15" hidden="false" customHeight="false" outlineLevel="0" collapsed="false">
      <c r="A31" s="24"/>
      <c r="B31" s="22"/>
      <c r="C31" s="22"/>
      <c r="D31" s="22"/>
      <c r="E31" s="22"/>
      <c r="F31" s="22"/>
      <c r="G31" s="37"/>
      <c r="H31" s="22"/>
      <c r="I31" s="22"/>
      <c r="J31" s="22"/>
    </row>
    <row r="32" customFormat="false" ht="15" hidden="false" customHeight="false" outlineLevel="0" collapsed="false">
      <c r="A32" s="24"/>
      <c r="B32" s="22"/>
      <c r="C32" s="22"/>
      <c r="D32" s="22"/>
      <c r="E32" s="22"/>
      <c r="F32" s="22"/>
      <c r="G32" s="37"/>
      <c r="H32" s="22"/>
      <c r="I32" s="22"/>
      <c r="J32" s="22"/>
    </row>
    <row r="33" customFormat="false" ht="15" hidden="false" customHeight="false" outlineLevel="0" collapsed="false">
      <c r="A33" s="24"/>
      <c r="B33" s="22"/>
      <c r="C33" s="22"/>
      <c r="D33" s="22"/>
      <c r="E33" s="22"/>
      <c r="F33" s="22"/>
      <c r="G33" s="37"/>
      <c r="H33" s="22"/>
      <c r="I33" s="22"/>
      <c r="J33" s="22"/>
    </row>
    <row r="34" customFormat="false" ht="15" hidden="false" customHeight="false" outlineLevel="0" collapsed="false">
      <c r="A34" s="24"/>
      <c r="B34" s="22"/>
      <c r="C34" s="22"/>
      <c r="D34" s="22"/>
      <c r="E34" s="22"/>
      <c r="F34" s="22"/>
      <c r="G34" s="37"/>
      <c r="H34" s="22"/>
      <c r="I34" s="22"/>
      <c r="J34" s="22"/>
    </row>
    <row r="35" customFormat="false" ht="15" hidden="false" customHeight="false" outlineLevel="0" collapsed="false">
      <c r="A35" s="24"/>
      <c r="B35" s="22"/>
      <c r="C35" s="22"/>
      <c r="D35" s="22"/>
      <c r="E35" s="22"/>
      <c r="F35" s="22"/>
      <c r="G35" s="37"/>
      <c r="H35" s="22"/>
      <c r="I35" s="22"/>
      <c r="J35" s="22"/>
    </row>
    <row r="36" customFormat="false" ht="15" hidden="false" customHeight="false" outlineLevel="0" collapsed="false">
      <c r="A36" s="24"/>
      <c r="B36" s="22"/>
      <c r="C36" s="22"/>
      <c r="D36" s="22"/>
      <c r="E36" s="22"/>
      <c r="F36" s="22"/>
      <c r="G36" s="37"/>
      <c r="H36" s="22"/>
      <c r="I36" s="22"/>
      <c r="J36" s="22"/>
    </row>
    <row r="37" customFormat="false" ht="15" hidden="false" customHeight="false" outlineLevel="0" collapsed="false">
      <c r="A37" s="24"/>
      <c r="B37" s="22"/>
      <c r="C37" s="22"/>
      <c r="D37" s="22"/>
      <c r="E37" s="22"/>
      <c r="F37" s="22"/>
      <c r="G37" s="37"/>
      <c r="H37" s="22"/>
      <c r="I37" s="22"/>
      <c r="J37" s="22"/>
    </row>
    <row r="38" customFormat="false" ht="15" hidden="false" customHeight="false" outlineLevel="0" collapsed="false">
      <c r="A38" s="24"/>
      <c r="B38" s="22"/>
      <c r="C38" s="22"/>
      <c r="D38" s="22"/>
      <c r="E38" s="22"/>
      <c r="F38" s="22"/>
      <c r="G38" s="37"/>
      <c r="H38" s="22"/>
      <c r="I38" s="22"/>
      <c r="J38" s="22"/>
    </row>
    <row r="39" customFormat="false" ht="15" hidden="false" customHeight="false" outlineLevel="0" collapsed="false">
      <c r="A39" s="24"/>
      <c r="B39" s="22"/>
      <c r="C39" s="22"/>
      <c r="D39" s="22"/>
      <c r="E39" s="22"/>
      <c r="F39" s="22"/>
      <c r="G39" s="37"/>
      <c r="H39" s="22"/>
      <c r="I39" s="22"/>
      <c r="J39" s="22"/>
    </row>
    <row r="40" customFormat="false" ht="15" hidden="false" customHeight="false" outlineLevel="0" collapsed="false">
      <c r="A40" s="24"/>
      <c r="B40" s="22"/>
      <c r="C40" s="22"/>
      <c r="D40" s="22"/>
      <c r="E40" s="22"/>
      <c r="F40" s="22"/>
      <c r="G40" s="37"/>
      <c r="H40" s="22"/>
      <c r="I40" s="22"/>
      <c r="J40" s="22"/>
    </row>
    <row r="41" customFormat="false" ht="15" hidden="false" customHeight="false" outlineLevel="0" collapsed="false">
      <c r="A41" s="24"/>
      <c r="B41" s="22"/>
      <c r="C41" s="22"/>
      <c r="D41" s="22"/>
      <c r="E41" s="22"/>
      <c r="F41" s="22"/>
      <c r="G41" s="37"/>
      <c r="H41" s="22"/>
      <c r="I41" s="22"/>
      <c r="J41" s="22"/>
    </row>
    <row r="42" customFormat="false" ht="15" hidden="false" customHeight="false" outlineLevel="0" collapsed="false">
      <c r="A42" s="24"/>
      <c r="B42" s="22"/>
      <c r="C42" s="22"/>
      <c r="D42" s="22"/>
      <c r="E42" s="22"/>
      <c r="F42" s="22"/>
      <c r="G42" s="37"/>
      <c r="H42" s="22"/>
      <c r="I42" s="22"/>
      <c r="J42" s="22"/>
    </row>
    <row r="43" customFormat="false" ht="15" hidden="false" customHeight="false" outlineLevel="0" collapsed="false">
      <c r="A43" s="24"/>
      <c r="B43" s="22"/>
      <c r="C43" s="22"/>
      <c r="D43" s="22"/>
      <c r="E43" s="22"/>
      <c r="F43" s="22"/>
      <c r="G43" s="37"/>
      <c r="H43" s="22"/>
      <c r="I43" s="22"/>
      <c r="J43" s="22"/>
    </row>
    <row r="44" customFormat="false" ht="15" hidden="false" customHeight="false" outlineLevel="0" collapsed="false">
      <c r="A44" s="24"/>
      <c r="B44" s="22"/>
      <c r="C44" s="22"/>
      <c r="D44" s="22"/>
      <c r="E44" s="22"/>
      <c r="F44" s="22"/>
      <c r="G44" s="37"/>
      <c r="H44" s="22"/>
      <c r="I44" s="22"/>
      <c r="J44" s="22"/>
    </row>
    <row r="45" customFormat="false" ht="15" hidden="false" customHeight="false" outlineLevel="0" collapsed="false">
      <c r="A45" s="24"/>
      <c r="B45" s="22"/>
      <c r="C45" s="22"/>
      <c r="D45" s="22"/>
      <c r="E45" s="22"/>
      <c r="F45" s="22"/>
      <c r="G45" s="37"/>
      <c r="H45" s="22"/>
      <c r="I45" s="22"/>
      <c r="J45" s="22"/>
    </row>
    <row r="46" customFormat="false" ht="15" hidden="false" customHeight="false" outlineLevel="0" collapsed="false">
      <c r="A46" s="24"/>
      <c r="B46" s="22"/>
      <c r="C46" s="22"/>
      <c r="D46" s="22"/>
      <c r="E46" s="22"/>
      <c r="F46" s="22"/>
      <c r="G46" s="37"/>
      <c r="H46" s="22"/>
      <c r="I46" s="22"/>
      <c r="J46" s="22"/>
    </row>
    <row r="47" customFormat="false" ht="15" hidden="false" customHeight="false" outlineLevel="0" collapsed="false">
      <c r="A47" s="24"/>
      <c r="B47" s="22"/>
      <c r="C47" s="22"/>
      <c r="D47" s="22"/>
      <c r="E47" s="22"/>
      <c r="F47" s="22"/>
      <c r="G47" s="37"/>
      <c r="H47" s="22"/>
      <c r="I47" s="22"/>
      <c r="J47" s="22"/>
    </row>
    <row r="48" customFormat="false" ht="15" hidden="false" customHeight="false" outlineLevel="0" collapsed="false">
      <c r="A48" s="24"/>
      <c r="B48" s="22"/>
      <c r="C48" s="22"/>
      <c r="D48" s="22"/>
      <c r="E48" s="22"/>
      <c r="F48" s="22"/>
      <c r="G48" s="37"/>
      <c r="H48" s="22"/>
      <c r="I48" s="22"/>
      <c r="J48" s="22"/>
    </row>
    <row r="49" customFormat="false" ht="15" hidden="false" customHeight="false" outlineLevel="0" collapsed="false">
      <c r="A49" s="24"/>
      <c r="B49" s="22"/>
      <c r="C49" s="22"/>
      <c r="D49" s="22"/>
      <c r="E49" s="22"/>
      <c r="F49" s="22"/>
      <c r="G49" s="37"/>
      <c r="H49" s="22"/>
      <c r="I49" s="22"/>
      <c r="J49" s="22"/>
    </row>
    <row r="50" customFormat="false" ht="15" hidden="false" customHeight="false" outlineLevel="0" collapsed="false">
      <c r="A50" s="24"/>
      <c r="B50" s="22"/>
      <c r="C50" s="22"/>
      <c r="D50" s="22"/>
      <c r="E50" s="22"/>
      <c r="F50" s="22"/>
      <c r="G50" s="37"/>
      <c r="H50" s="22"/>
      <c r="I50" s="22"/>
      <c r="J50" s="22"/>
    </row>
    <row r="51" customFormat="false" ht="15" hidden="false" customHeight="false" outlineLevel="0" collapsed="false">
      <c r="A51" s="24"/>
      <c r="B51" s="22"/>
      <c r="C51" s="22"/>
      <c r="D51" s="22"/>
      <c r="E51" s="22"/>
      <c r="F51" s="22"/>
      <c r="G51" s="37"/>
      <c r="H51" s="22"/>
      <c r="I51" s="22"/>
      <c r="J51" s="22"/>
    </row>
    <row r="52" customFormat="false" ht="15" hidden="false" customHeight="false" outlineLevel="0" collapsed="false">
      <c r="A52" s="24"/>
      <c r="B52" s="22"/>
      <c r="C52" s="22"/>
      <c r="D52" s="22"/>
      <c r="E52" s="22"/>
      <c r="F52" s="22"/>
      <c r="G52" s="37"/>
      <c r="H52" s="22"/>
      <c r="I52" s="22"/>
      <c r="J52" s="22"/>
    </row>
    <row r="53" customFormat="false" ht="15" hidden="false" customHeight="false" outlineLevel="0" collapsed="false">
      <c r="A53" s="24"/>
      <c r="B53" s="22"/>
      <c r="C53" s="22"/>
      <c r="D53" s="22"/>
      <c r="E53" s="22"/>
      <c r="F53" s="22"/>
      <c r="G53" s="37"/>
      <c r="H53" s="22"/>
      <c r="I53" s="22"/>
      <c r="J53" s="22"/>
    </row>
    <row r="54" customFormat="false" ht="15" hidden="false" customHeight="false" outlineLevel="0" collapsed="false">
      <c r="A54" s="24"/>
      <c r="B54" s="22"/>
      <c r="C54" s="22"/>
      <c r="D54" s="22"/>
      <c r="E54" s="22"/>
      <c r="F54" s="22"/>
      <c r="G54" s="37"/>
      <c r="H54" s="22"/>
      <c r="I54" s="22"/>
      <c r="J54" s="22"/>
    </row>
    <row r="55" customFormat="false" ht="15" hidden="false" customHeight="false" outlineLevel="0" collapsed="false">
      <c r="A55" s="24"/>
      <c r="B55" s="22"/>
      <c r="C55" s="22"/>
      <c r="D55" s="22"/>
      <c r="E55" s="22"/>
      <c r="F55" s="22"/>
      <c r="G55" s="37"/>
      <c r="H55" s="22"/>
      <c r="I55" s="22"/>
      <c r="J55" s="22"/>
    </row>
    <row r="56" customFormat="false" ht="15" hidden="false" customHeight="false" outlineLevel="0" collapsed="false">
      <c r="A56" s="24"/>
      <c r="B56" s="22"/>
      <c r="C56" s="22"/>
      <c r="D56" s="22"/>
      <c r="E56" s="22"/>
      <c r="F56" s="22"/>
      <c r="G56" s="37"/>
      <c r="H56" s="22"/>
      <c r="I56" s="22"/>
      <c r="J56" s="22"/>
    </row>
    <row r="57" customFormat="false" ht="15" hidden="false" customHeight="false" outlineLevel="0" collapsed="false">
      <c r="A57" s="24"/>
      <c r="B57" s="22"/>
      <c r="C57" s="22"/>
      <c r="D57" s="22"/>
      <c r="E57" s="22"/>
      <c r="F57" s="22"/>
      <c r="G57" s="37"/>
      <c r="H57" s="22"/>
      <c r="I57" s="22"/>
      <c r="J57" s="22"/>
    </row>
    <row r="58" customFormat="false" ht="15" hidden="false" customHeight="false" outlineLevel="0" collapsed="false">
      <c r="A58" s="24"/>
      <c r="B58" s="22"/>
      <c r="C58" s="22"/>
      <c r="D58" s="22"/>
      <c r="E58" s="22"/>
      <c r="F58" s="22"/>
      <c r="G58" s="37"/>
      <c r="H58" s="22"/>
      <c r="I58" s="22"/>
      <c r="J58" s="22"/>
    </row>
    <row r="59" customFormat="false" ht="15" hidden="false" customHeight="false" outlineLevel="0" collapsed="false">
      <c r="A59" s="24"/>
      <c r="B59" s="22"/>
      <c r="C59" s="22"/>
      <c r="D59" s="22"/>
      <c r="E59" s="22"/>
      <c r="F59" s="22"/>
      <c r="G59" s="37"/>
      <c r="H59" s="22"/>
      <c r="I59" s="22"/>
      <c r="J59" s="22"/>
    </row>
    <row r="60" customFormat="false" ht="15" hidden="false" customHeight="false" outlineLevel="0" collapsed="false">
      <c r="A60" s="24"/>
      <c r="B60" s="22"/>
      <c r="C60" s="22"/>
      <c r="D60" s="22"/>
      <c r="E60" s="22"/>
      <c r="F60" s="22"/>
      <c r="G60" s="37"/>
      <c r="H60" s="22"/>
      <c r="I60" s="22"/>
      <c r="J60" s="22"/>
    </row>
    <row r="61" customFormat="false" ht="15" hidden="false" customHeight="false" outlineLevel="0" collapsed="false">
      <c r="A61" s="24"/>
      <c r="B61" s="22"/>
      <c r="C61" s="22"/>
      <c r="D61" s="22"/>
      <c r="E61" s="22"/>
      <c r="F61" s="22"/>
      <c r="G61" s="37"/>
      <c r="H61" s="22"/>
      <c r="I61" s="22"/>
      <c r="J61" s="22"/>
    </row>
    <row r="62" customFormat="false" ht="15" hidden="false" customHeight="false" outlineLevel="0" collapsed="false">
      <c r="A62" s="24"/>
      <c r="B62" s="22"/>
      <c r="C62" s="22"/>
      <c r="D62" s="22"/>
      <c r="E62" s="22"/>
      <c r="F62" s="22"/>
      <c r="G62" s="37"/>
      <c r="H62" s="22"/>
      <c r="I62" s="22"/>
      <c r="J62" s="22"/>
    </row>
    <row r="63" customFormat="false" ht="15" hidden="false" customHeight="false" outlineLevel="0" collapsed="false">
      <c r="A63" s="24"/>
      <c r="B63" s="22"/>
      <c r="C63" s="22"/>
      <c r="D63" s="22"/>
      <c r="E63" s="22"/>
      <c r="F63" s="22"/>
      <c r="G63" s="37"/>
      <c r="H63" s="22"/>
      <c r="I63" s="22"/>
      <c r="J63" s="22"/>
    </row>
    <row r="64" customFormat="false" ht="15" hidden="false" customHeight="false" outlineLevel="0" collapsed="false">
      <c r="A64" s="24"/>
      <c r="B64" s="22"/>
      <c r="C64" s="22"/>
      <c r="D64" s="22"/>
      <c r="E64" s="22"/>
      <c r="F64" s="22"/>
      <c r="G64" s="37"/>
      <c r="H64" s="22"/>
      <c r="I64" s="22"/>
      <c r="J64" s="22"/>
    </row>
    <row r="65" customFormat="false" ht="15" hidden="false" customHeight="false" outlineLevel="0" collapsed="false">
      <c r="A65" s="24"/>
      <c r="B65" s="22"/>
      <c r="C65" s="22"/>
      <c r="D65" s="22"/>
      <c r="E65" s="22"/>
      <c r="F65" s="22"/>
      <c r="G65" s="37"/>
      <c r="H65" s="22"/>
      <c r="I65" s="22"/>
      <c r="J65" s="22"/>
    </row>
    <row r="66" customFormat="false" ht="15" hidden="false" customHeight="false" outlineLevel="0" collapsed="false">
      <c r="A66" s="24"/>
      <c r="B66" s="22"/>
      <c r="C66" s="22"/>
      <c r="D66" s="22"/>
      <c r="E66" s="22"/>
      <c r="F66" s="22"/>
      <c r="G66" s="37"/>
      <c r="H66" s="22"/>
      <c r="I66" s="22"/>
      <c r="J66" s="22"/>
    </row>
    <row r="67" customFormat="false" ht="15" hidden="false" customHeight="false" outlineLevel="0" collapsed="false">
      <c r="A67" s="24"/>
      <c r="B67" s="22"/>
      <c r="C67" s="22"/>
      <c r="D67" s="22"/>
      <c r="E67" s="22"/>
      <c r="F67" s="22"/>
      <c r="G67" s="37"/>
      <c r="H67" s="22"/>
      <c r="I67" s="22"/>
      <c r="J67" s="22"/>
    </row>
    <row r="68" customFormat="false" ht="15" hidden="false" customHeight="false" outlineLevel="0" collapsed="false">
      <c r="A68" s="24"/>
      <c r="B68" s="22"/>
      <c r="C68" s="22"/>
      <c r="D68" s="22"/>
      <c r="E68" s="22"/>
      <c r="F68" s="22"/>
      <c r="G68" s="37"/>
      <c r="H68" s="22"/>
      <c r="I68" s="22"/>
      <c r="J68" s="22"/>
    </row>
    <row r="69" customFormat="false" ht="15" hidden="false" customHeight="false" outlineLevel="0" collapsed="false">
      <c r="A69" s="24"/>
      <c r="B69" s="22"/>
      <c r="C69" s="22"/>
      <c r="D69" s="22"/>
      <c r="E69" s="22"/>
      <c r="F69" s="22"/>
      <c r="G69" s="37"/>
      <c r="H69" s="22"/>
      <c r="I69" s="22"/>
      <c r="J69" s="22"/>
    </row>
    <row r="70" customFormat="false" ht="15" hidden="false" customHeight="false" outlineLevel="0" collapsed="false">
      <c r="A70" s="24"/>
      <c r="B70" s="22"/>
      <c r="C70" s="22"/>
      <c r="D70" s="22"/>
      <c r="E70" s="22"/>
      <c r="F70" s="22"/>
      <c r="G70" s="37"/>
      <c r="H70" s="22"/>
      <c r="I70" s="22"/>
      <c r="J70" s="22"/>
    </row>
    <row r="71" customFormat="false" ht="15" hidden="false" customHeight="false" outlineLevel="0" collapsed="false">
      <c r="A71" s="24"/>
      <c r="B71" s="22"/>
      <c r="C71" s="22"/>
      <c r="D71" s="22"/>
      <c r="E71" s="22"/>
      <c r="F71" s="22"/>
      <c r="G71" s="37"/>
      <c r="H71" s="22"/>
      <c r="I71" s="22"/>
      <c r="J71" s="22"/>
    </row>
    <row r="72" customFormat="false" ht="15" hidden="false" customHeight="false" outlineLevel="0" collapsed="false">
      <c r="A72" s="24"/>
      <c r="B72" s="22"/>
      <c r="C72" s="22"/>
      <c r="D72" s="22"/>
      <c r="E72" s="22"/>
      <c r="F72" s="22"/>
      <c r="G72" s="37"/>
      <c r="H72" s="22"/>
      <c r="I72" s="22"/>
      <c r="J72" s="22"/>
    </row>
    <row r="73" customFormat="false" ht="15" hidden="false" customHeight="false" outlineLevel="0" collapsed="false">
      <c r="A73" s="24"/>
      <c r="B73" s="22"/>
      <c r="C73" s="22"/>
      <c r="D73" s="22"/>
      <c r="E73" s="22"/>
      <c r="F73" s="22"/>
      <c r="G73" s="37"/>
      <c r="H73" s="22"/>
      <c r="I73" s="22"/>
      <c r="J73" s="22"/>
    </row>
    <row r="74" customFormat="false" ht="15" hidden="false" customHeight="false" outlineLevel="0" collapsed="false">
      <c r="A74" s="24"/>
      <c r="B74" s="22"/>
      <c r="C74" s="22"/>
      <c r="D74" s="22"/>
      <c r="E74" s="22"/>
      <c r="F74" s="22"/>
      <c r="G74" s="37"/>
      <c r="H74" s="22"/>
      <c r="I74" s="22"/>
      <c r="J74" s="22"/>
    </row>
    <row r="75" customFormat="false" ht="15" hidden="false" customHeight="false" outlineLevel="0" collapsed="false">
      <c r="A75" s="24"/>
      <c r="B75" s="22"/>
      <c r="C75" s="22"/>
      <c r="D75" s="22"/>
      <c r="E75" s="22"/>
      <c r="F75" s="22"/>
      <c r="G75" s="37"/>
      <c r="H75" s="22"/>
      <c r="I75" s="22"/>
      <c r="J75" s="22"/>
    </row>
    <row r="76" customFormat="false" ht="15" hidden="false" customHeight="false" outlineLevel="0" collapsed="false">
      <c r="A76" s="24"/>
      <c r="B76" s="22"/>
      <c r="C76" s="22"/>
      <c r="D76" s="22"/>
      <c r="E76" s="22"/>
      <c r="F76" s="22"/>
      <c r="G76" s="37"/>
      <c r="H76" s="22"/>
      <c r="I76" s="22"/>
      <c r="J76" s="22"/>
    </row>
    <row r="77" customFormat="false" ht="15" hidden="false" customHeight="false" outlineLevel="0" collapsed="false">
      <c r="A77" s="24"/>
      <c r="B77" s="22"/>
      <c r="C77" s="22"/>
      <c r="D77" s="22"/>
      <c r="E77" s="22"/>
      <c r="F77" s="22"/>
      <c r="G77" s="37"/>
      <c r="H77" s="22"/>
      <c r="I77" s="22"/>
      <c r="J77" s="22"/>
    </row>
    <row r="78" customFormat="false" ht="15" hidden="false" customHeight="false" outlineLevel="0" collapsed="false">
      <c r="A78" s="24"/>
      <c r="B78" s="22"/>
      <c r="C78" s="22"/>
      <c r="D78" s="22"/>
      <c r="E78" s="22"/>
      <c r="F78" s="22"/>
      <c r="G78" s="37"/>
      <c r="H78" s="22"/>
      <c r="I78" s="22"/>
      <c r="J78" s="22"/>
    </row>
    <row r="79" customFormat="false" ht="15" hidden="false" customHeight="false" outlineLevel="0" collapsed="false">
      <c r="A79" s="24"/>
      <c r="B79" s="22"/>
      <c r="C79" s="22"/>
      <c r="D79" s="22"/>
      <c r="E79" s="22"/>
      <c r="F79" s="22"/>
      <c r="G79" s="37"/>
      <c r="H79" s="22"/>
      <c r="I79" s="22"/>
      <c r="J79" s="22"/>
    </row>
    <row r="80" customFormat="false" ht="15" hidden="false" customHeight="false" outlineLevel="0" collapsed="false">
      <c r="A80" s="24"/>
      <c r="B80" s="22"/>
      <c r="C80" s="22"/>
      <c r="D80" s="22"/>
      <c r="E80" s="22"/>
      <c r="F80" s="22"/>
      <c r="G80" s="37"/>
      <c r="H80" s="22"/>
      <c r="I80" s="22"/>
      <c r="J80" s="22"/>
    </row>
    <row r="81" customFormat="false" ht="15" hidden="false" customHeight="false" outlineLevel="0" collapsed="false">
      <c r="A81" s="24"/>
      <c r="B81" s="22"/>
      <c r="C81" s="22"/>
      <c r="D81" s="22"/>
      <c r="E81" s="22"/>
      <c r="F81" s="22"/>
      <c r="G81" s="37"/>
      <c r="H81" s="22"/>
      <c r="I81" s="22"/>
      <c r="J81" s="22"/>
    </row>
    <row r="82" customFormat="false" ht="15" hidden="false" customHeight="false" outlineLevel="0" collapsed="false">
      <c r="A82" s="24"/>
      <c r="B82" s="22"/>
      <c r="C82" s="22"/>
      <c r="D82" s="22"/>
      <c r="E82" s="22"/>
      <c r="F82" s="22"/>
      <c r="G82" s="37"/>
      <c r="H82" s="22"/>
      <c r="I82" s="22"/>
      <c r="J82" s="22"/>
    </row>
    <row r="83" customFormat="false" ht="15" hidden="false" customHeight="false" outlineLevel="0" collapsed="false">
      <c r="A83" s="24"/>
      <c r="B83" s="22"/>
      <c r="C83" s="22"/>
      <c r="D83" s="22"/>
      <c r="E83" s="22"/>
      <c r="F83" s="22"/>
      <c r="G83" s="37"/>
      <c r="H83" s="22"/>
      <c r="I83" s="22"/>
      <c r="J83" s="22"/>
    </row>
    <row r="84" customFormat="false" ht="15" hidden="false" customHeight="false" outlineLevel="0" collapsed="false">
      <c r="A84" s="24"/>
      <c r="B84" s="22"/>
      <c r="C84" s="22"/>
      <c r="D84" s="22"/>
      <c r="E84" s="22"/>
      <c r="F84" s="22"/>
      <c r="G84" s="37"/>
      <c r="H84" s="22"/>
      <c r="I84" s="22"/>
      <c r="J84" s="22"/>
    </row>
    <row r="85" customFormat="false" ht="15" hidden="false" customHeight="false" outlineLevel="0" collapsed="false">
      <c r="A85" s="24"/>
      <c r="B85" s="22"/>
      <c r="C85" s="22"/>
      <c r="D85" s="22"/>
      <c r="E85" s="22"/>
      <c r="F85" s="22"/>
      <c r="G85" s="37"/>
      <c r="H85" s="22"/>
      <c r="I85" s="22"/>
      <c r="J85" s="22"/>
    </row>
    <row r="86" customFormat="false" ht="15" hidden="false" customHeight="false" outlineLevel="0" collapsed="false">
      <c r="A86" s="24"/>
      <c r="B86" s="22"/>
      <c r="C86" s="22"/>
      <c r="D86" s="22"/>
      <c r="E86" s="22"/>
      <c r="F86" s="22"/>
      <c r="G86" s="37"/>
      <c r="H86" s="22"/>
      <c r="I86" s="22"/>
      <c r="J86" s="22"/>
    </row>
    <row r="87" customFormat="false" ht="15" hidden="false" customHeight="false" outlineLevel="0" collapsed="false">
      <c r="A87" s="24"/>
      <c r="B87" s="22"/>
      <c r="C87" s="22"/>
      <c r="D87" s="22"/>
      <c r="E87" s="22"/>
      <c r="F87" s="22"/>
      <c r="G87" s="37"/>
      <c r="H87" s="22"/>
      <c r="I87" s="22"/>
      <c r="J87" s="22"/>
    </row>
    <row r="88" customFormat="false" ht="15" hidden="false" customHeight="false" outlineLevel="0" collapsed="false">
      <c r="A88" s="24"/>
      <c r="B88" s="22"/>
      <c r="C88" s="22"/>
      <c r="D88" s="22"/>
      <c r="E88" s="22"/>
      <c r="F88" s="22"/>
      <c r="G88" s="37"/>
      <c r="H88" s="22"/>
      <c r="I88" s="22"/>
      <c r="J88" s="22"/>
    </row>
    <row r="89" customFormat="false" ht="15" hidden="false" customHeight="false" outlineLevel="0" collapsed="false">
      <c r="A89" s="24"/>
      <c r="B89" s="22"/>
      <c r="C89" s="22"/>
      <c r="D89" s="22"/>
      <c r="E89" s="22"/>
      <c r="F89" s="22"/>
      <c r="G89" s="37"/>
      <c r="H89" s="22"/>
      <c r="I89" s="22"/>
      <c r="J89" s="22"/>
    </row>
    <row r="90" customFormat="false" ht="15" hidden="false" customHeight="false" outlineLevel="0" collapsed="false">
      <c r="A90" s="24"/>
      <c r="B90" s="22"/>
      <c r="C90" s="22"/>
      <c r="D90" s="22"/>
      <c r="E90" s="22"/>
      <c r="F90" s="22"/>
      <c r="G90" s="37"/>
      <c r="H90" s="22"/>
      <c r="I90" s="22"/>
      <c r="J90" s="22"/>
    </row>
    <row r="91" customFormat="false" ht="15" hidden="false" customHeight="false" outlineLevel="0" collapsed="false">
      <c r="A91" s="24"/>
      <c r="B91" s="22"/>
      <c r="C91" s="22"/>
      <c r="D91" s="22"/>
      <c r="E91" s="22"/>
      <c r="F91" s="22"/>
      <c r="G91" s="37"/>
      <c r="H91" s="22"/>
      <c r="I91" s="22"/>
      <c r="J91" s="22"/>
    </row>
    <row r="92" customFormat="false" ht="15" hidden="false" customHeight="false" outlineLevel="0" collapsed="false">
      <c r="A92" s="24"/>
      <c r="B92" s="22"/>
      <c r="C92" s="22"/>
      <c r="D92" s="22"/>
      <c r="E92" s="22"/>
      <c r="F92" s="22"/>
      <c r="G92" s="37"/>
      <c r="H92" s="22"/>
      <c r="I92" s="22"/>
      <c r="J92" s="22"/>
    </row>
    <row r="93" customFormat="false" ht="15" hidden="false" customHeight="false" outlineLevel="0" collapsed="false">
      <c r="A93" s="24"/>
      <c r="B93" s="22"/>
      <c r="C93" s="22"/>
      <c r="D93" s="22"/>
      <c r="E93" s="22"/>
      <c r="F93" s="22"/>
      <c r="G93" s="37"/>
      <c r="H93" s="22"/>
      <c r="I93" s="22"/>
      <c r="J93" s="22"/>
    </row>
    <row r="94" customFormat="false" ht="15" hidden="false" customHeight="false" outlineLevel="0" collapsed="false">
      <c r="A94" s="24"/>
      <c r="B94" s="22"/>
      <c r="C94" s="22"/>
      <c r="D94" s="22"/>
      <c r="E94" s="22"/>
      <c r="F94" s="22"/>
      <c r="G94" s="37"/>
      <c r="H94" s="22"/>
      <c r="I94" s="22"/>
      <c r="J94" s="22"/>
    </row>
    <row r="95" customFormat="false" ht="15" hidden="false" customHeight="false" outlineLevel="0" collapsed="false">
      <c r="A95" s="24"/>
      <c r="B95" s="22"/>
      <c r="C95" s="22"/>
      <c r="D95" s="22"/>
      <c r="E95" s="22"/>
      <c r="F95" s="22"/>
      <c r="G95" s="37"/>
      <c r="H95" s="22"/>
      <c r="I95" s="22"/>
      <c r="J95" s="22"/>
    </row>
    <row r="96" customFormat="false" ht="15" hidden="false" customHeight="false" outlineLevel="0" collapsed="false">
      <c r="A96" s="24"/>
      <c r="B96" s="22"/>
      <c r="C96" s="22"/>
      <c r="D96" s="22"/>
      <c r="E96" s="22"/>
      <c r="F96" s="22"/>
      <c r="G96" s="37"/>
      <c r="H96" s="22"/>
      <c r="I96" s="22"/>
      <c r="J96" s="22"/>
    </row>
    <row r="97" customFormat="false" ht="15" hidden="false" customHeight="false" outlineLevel="0" collapsed="false">
      <c r="A97" s="24"/>
      <c r="B97" s="22"/>
      <c r="C97" s="22"/>
      <c r="D97" s="22"/>
      <c r="E97" s="22"/>
      <c r="F97" s="22"/>
      <c r="G97" s="37"/>
      <c r="H97" s="22"/>
      <c r="I97" s="22"/>
      <c r="J97" s="22"/>
    </row>
    <row r="98" customFormat="false" ht="15" hidden="false" customHeight="false" outlineLevel="0" collapsed="false">
      <c r="A98" s="24"/>
      <c r="B98" s="22"/>
      <c r="C98" s="22"/>
      <c r="D98" s="22"/>
      <c r="E98" s="22"/>
      <c r="F98" s="22"/>
      <c r="G98" s="37"/>
      <c r="H98" s="22"/>
      <c r="I98" s="22"/>
      <c r="J98" s="22"/>
    </row>
    <row r="99" customFormat="false" ht="15" hidden="false" customHeight="false" outlineLevel="0" collapsed="false">
      <c r="A99" s="24"/>
      <c r="B99" s="22"/>
      <c r="C99" s="22"/>
      <c r="D99" s="22"/>
      <c r="E99" s="22"/>
      <c r="F99" s="22"/>
      <c r="G99" s="37"/>
      <c r="H99" s="22"/>
      <c r="I99" s="22"/>
      <c r="J99" s="22"/>
    </row>
    <row r="100" customFormat="false" ht="15" hidden="false" customHeight="false" outlineLevel="0" collapsed="false">
      <c r="A100" s="24"/>
      <c r="B100" s="22"/>
      <c r="C100" s="22"/>
      <c r="D100" s="22"/>
      <c r="E100" s="22"/>
      <c r="F100" s="22"/>
      <c r="G100" s="37"/>
      <c r="H100" s="22"/>
      <c r="I100" s="22"/>
      <c r="J100" s="22"/>
    </row>
    <row r="101" customFormat="false" ht="15" hidden="false" customHeight="false" outlineLevel="0" collapsed="false">
      <c r="A101" s="24"/>
      <c r="B101" s="22"/>
      <c r="C101" s="22"/>
      <c r="D101" s="22"/>
      <c r="E101" s="22"/>
      <c r="F101" s="22"/>
      <c r="G101" s="37"/>
      <c r="H101" s="22"/>
      <c r="I101" s="22"/>
      <c r="J101" s="22"/>
    </row>
    <row r="102" customFormat="false" ht="15" hidden="false" customHeight="false" outlineLevel="0" collapsed="false">
      <c r="A102" s="24"/>
      <c r="B102" s="22"/>
      <c r="C102" s="22"/>
      <c r="D102" s="22"/>
      <c r="E102" s="22"/>
      <c r="F102" s="22"/>
      <c r="G102" s="37"/>
      <c r="H102" s="22"/>
      <c r="I102" s="22"/>
      <c r="J102" s="22"/>
    </row>
    <row r="103" customFormat="false" ht="15" hidden="false" customHeight="false" outlineLevel="0" collapsed="false">
      <c r="A103" s="24"/>
      <c r="B103" s="22"/>
      <c r="C103" s="22"/>
      <c r="D103" s="22"/>
      <c r="E103" s="22"/>
      <c r="F103" s="22"/>
      <c r="G103" s="37"/>
      <c r="H103" s="22"/>
      <c r="I103" s="22"/>
      <c r="J103" s="22"/>
    </row>
    <row r="104" customFormat="false" ht="15" hidden="false" customHeight="false" outlineLevel="0" collapsed="false">
      <c r="A104" s="24"/>
      <c r="B104" s="22"/>
      <c r="C104" s="22"/>
      <c r="D104" s="22"/>
      <c r="E104" s="22"/>
      <c r="F104" s="22"/>
      <c r="G104" s="37"/>
      <c r="H104" s="22"/>
      <c r="I104" s="22"/>
      <c r="J104" s="22"/>
    </row>
    <row r="105" customFormat="false" ht="15" hidden="false" customHeight="false" outlineLevel="0" collapsed="false">
      <c r="A105" s="24"/>
      <c r="B105" s="22"/>
      <c r="C105" s="22"/>
      <c r="D105" s="22"/>
      <c r="E105" s="22"/>
      <c r="F105" s="22"/>
      <c r="G105" s="37"/>
      <c r="H105" s="22"/>
      <c r="I105" s="22"/>
      <c r="J105" s="22"/>
    </row>
  </sheetData>
  <conditionalFormatting sqref="J6:J105">
    <cfRule type="expression" priority="2" aboveAverage="0" equalAverage="0" bottom="0" percent="0" rank="0" text="" dxfId="14">
      <formula>ISNUMBER(SEARCH("No",J6))</formula>
    </cfRule>
  </conditionalFormatting>
  <dataValidations count="4">
    <dataValidation allowBlank="true" error="Enter a valid date" errorStyle="stop" operator="greaterThan" showDropDown="false" showErrorMessage="true" showInputMessage="false" sqref="A6:A105" type="date">
      <formula1>43831</formula1>
      <formula2>0</formula2>
    </dataValidation>
    <dataValidation allowBlank="true" errorStyle="stop" operator="between" showDropDown="false" showErrorMessage="true" showInputMessage="false" sqref="B6:B105" type="list">
      <formula1>"Shift A (13:30-22:30 IST),Shift B (14:00-23:00 IST)"</formula1>
      <formula2>0</formula2>
    </dataValidation>
    <dataValidation allowBlank="true" errorStyle="stop" operator="between" showDropDown="false" showErrorMessage="true" showInputMessage="false" sqref="H6:H105" type="list">
      <formula1>"Yes,No"</formula1>
      <formula2>0</formula2>
    </dataValidation>
    <dataValidation allowBlank="true" errorStyle="stop" operator="between" showDropDown="false" showErrorMessage="true" showInputMessage="false" sqref="J6:J105"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I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18"/>
    <col collapsed="false" customWidth="true" hidden="false" outlineLevel="0" max="4" min="4" style="0" width="22"/>
    <col collapsed="false" customWidth="true" hidden="false" outlineLevel="0" max="6" min="5" style="0" width="14"/>
    <col collapsed="false" customWidth="true" hidden="false" outlineLevel="0" max="7" min="7" style="0" width="3"/>
    <col collapsed="false" customWidth="true" hidden="false" outlineLevel="0" max="8" min="8" style="0" width="26"/>
    <col collapsed="false" customWidth="true" hidden="false" outlineLevel="0" max="9" min="9" style="0" width="28"/>
  </cols>
  <sheetData>
    <row r="1" customFormat="false" ht="19.7" hidden="false" customHeight="false" outlineLevel="0" collapsed="false">
      <c r="A1" s="1" t="s">
        <v>237</v>
      </c>
    </row>
    <row r="2" customFormat="false" ht="15" hidden="false" customHeight="false" outlineLevel="0" collapsed="false">
      <c r="A2" s="2" t="s">
        <v>238</v>
      </c>
    </row>
    <row r="4" customFormat="false" ht="31.5" hidden="false" customHeight="true" outlineLevel="0" collapsed="false">
      <c r="A4" s="11" t="s">
        <v>79</v>
      </c>
      <c r="B4" s="11" t="s">
        <v>239</v>
      </c>
      <c r="C4" s="11" t="s">
        <v>190</v>
      </c>
      <c r="D4" s="11" t="s">
        <v>240</v>
      </c>
      <c r="E4" s="11" t="s">
        <v>143</v>
      </c>
      <c r="F4" s="11" t="s">
        <v>144</v>
      </c>
      <c r="H4" s="38" t="s">
        <v>241</v>
      </c>
      <c r="I4" s="39"/>
    </row>
    <row r="5" customFormat="false" ht="15" hidden="false" customHeight="false" outlineLevel="0" collapsed="false">
      <c r="A5" s="22" t="s">
        <v>93</v>
      </c>
      <c r="B5" s="24" t="n">
        <v>43528</v>
      </c>
      <c r="C5" s="22" t="s">
        <v>242</v>
      </c>
      <c r="D5" s="22" t="s">
        <v>243</v>
      </c>
      <c r="E5" s="22" t="s">
        <v>244</v>
      </c>
      <c r="F5" s="22" t="s">
        <v>245</v>
      </c>
      <c r="H5" s="18" t="s">
        <v>79</v>
      </c>
      <c r="I5" s="22" t="s">
        <v>99</v>
      </c>
    </row>
    <row r="6" customFormat="false" ht="15" hidden="false" customHeight="false" outlineLevel="0" collapsed="false">
      <c r="A6" s="22" t="s">
        <v>93</v>
      </c>
      <c r="B6" s="24" t="n">
        <v>44287</v>
      </c>
      <c r="C6" s="22" t="s">
        <v>246</v>
      </c>
      <c r="D6" s="22" t="s">
        <v>247</v>
      </c>
      <c r="E6" s="22" t="s">
        <v>244</v>
      </c>
      <c r="F6" s="22" t="s">
        <v>245</v>
      </c>
      <c r="H6" s="18" t="s">
        <v>248</v>
      </c>
      <c r="I6" s="24" t="n">
        <v>45077</v>
      </c>
    </row>
    <row r="7" customFormat="false" ht="15" hidden="false" customHeight="false" outlineLevel="0" collapsed="false">
      <c r="A7" s="22" t="s">
        <v>93</v>
      </c>
      <c r="B7" s="24" t="n">
        <v>45108</v>
      </c>
      <c r="C7" s="22" t="s">
        <v>246</v>
      </c>
      <c r="D7" s="22" t="s">
        <v>249</v>
      </c>
      <c r="E7" s="22" t="s">
        <v>244</v>
      </c>
      <c r="F7" s="22" t="s">
        <v>250</v>
      </c>
      <c r="H7" s="18" t="s">
        <v>251</v>
      </c>
      <c r="I7" s="28" t="n">
        <f aca="false">IF(OR($I$5="",$I$6=""),"",IF(SUMPRODUCT(MAX(($A$5:$A$104=$I$5)*($B$5:$B$104&lt;=$I$6)*$B$5:$B$104))=0,"No record as of that date",SUMPRODUCT(MAX(($A$5:$A$104=$I$5)*($B$5:$B$104&lt;=$I$6)*$B$5:$B$104))))</f>
        <v>45077</v>
      </c>
    </row>
    <row r="8" customFormat="false" ht="15" hidden="false" customHeight="false" outlineLevel="0" collapsed="false">
      <c r="A8" s="22" t="s">
        <v>109</v>
      </c>
      <c r="B8" s="24" t="n">
        <v>42387</v>
      </c>
      <c r="C8" s="22" t="s">
        <v>242</v>
      </c>
      <c r="D8" s="22" t="s">
        <v>247</v>
      </c>
      <c r="E8" s="22" t="s">
        <v>244</v>
      </c>
      <c r="F8" s="22" t="s">
        <v>245</v>
      </c>
      <c r="H8" s="18" t="s">
        <v>142</v>
      </c>
      <c r="I8" s="27" t="str">
        <f aca="false">IF($I$12=0,"",INDEX($D$1:$D$104,$I$12))</f>
        <v>Consultant</v>
      </c>
    </row>
    <row r="9" customFormat="false" ht="15" hidden="false" customHeight="false" outlineLevel="0" collapsed="false">
      <c r="A9" s="22" t="s">
        <v>109</v>
      </c>
      <c r="B9" s="24" t="n">
        <v>43647</v>
      </c>
      <c r="C9" s="22" t="s">
        <v>246</v>
      </c>
      <c r="D9" s="22" t="s">
        <v>249</v>
      </c>
      <c r="E9" s="22" t="s">
        <v>244</v>
      </c>
      <c r="F9" s="22" t="s">
        <v>250</v>
      </c>
      <c r="H9" s="18" t="s">
        <v>143</v>
      </c>
      <c r="I9" s="27" t="str">
        <f aca="false">IF($I$12=0,"",INDEX($E$1:$E$104,$I$12))</f>
        <v>Audit</v>
      </c>
    </row>
    <row r="10" customFormat="false" ht="15" hidden="false" customHeight="false" outlineLevel="0" collapsed="false">
      <c r="A10" s="22" t="s">
        <v>109</v>
      </c>
      <c r="B10" s="24" t="n">
        <v>44562</v>
      </c>
      <c r="C10" s="22" t="s">
        <v>252</v>
      </c>
      <c r="D10" s="22" t="s">
        <v>253</v>
      </c>
      <c r="E10" s="22" t="s">
        <v>254</v>
      </c>
      <c r="F10" s="22" t="s">
        <v>253</v>
      </c>
      <c r="H10" s="18" t="s">
        <v>144</v>
      </c>
      <c r="I10" s="27" t="str">
        <f aca="false">IF($I$12=0,"",INDEX($F$1:$F$104,$I$12))</f>
        <v>Associate</v>
      </c>
    </row>
    <row r="11" customFormat="false" ht="15" hidden="false" customHeight="false" outlineLevel="0" collapsed="false">
      <c r="A11" s="22" t="s">
        <v>99</v>
      </c>
      <c r="B11" s="24" t="n">
        <v>43252</v>
      </c>
      <c r="C11" s="22" t="s">
        <v>242</v>
      </c>
      <c r="D11" s="22" t="s">
        <v>243</v>
      </c>
      <c r="E11" s="22" t="s">
        <v>244</v>
      </c>
      <c r="F11" s="22" t="s">
        <v>245</v>
      </c>
      <c r="H11" s="18" t="s">
        <v>190</v>
      </c>
      <c r="I11" s="27" t="str">
        <f aca="false">IF($I$12=0,"",INDEX($C$1:$C$104,$I$12))</f>
        <v>Termination</v>
      </c>
    </row>
    <row r="12" customFormat="false" ht="15" hidden="false" customHeight="false" outlineLevel="0" collapsed="false">
      <c r="A12" s="22" t="s">
        <v>99</v>
      </c>
      <c r="B12" s="24" t="n">
        <v>44105</v>
      </c>
      <c r="C12" s="22" t="s">
        <v>246</v>
      </c>
      <c r="D12" s="22" t="s">
        <v>247</v>
      </c>
      <c r="E12" s="22" t="s">
        <v>244</v>
      </c>
      <c r="F12" s="22" t="s">
        <v>245</v>
      </c>
      <c r="H12" s="18" t="s">
        <v>255</v>
      </c>
      <c r="I12" s="27" t="n">
        <f aca="false">IF(ISNUMBER($I$7),SUMPRODUCT(($A$5:$A$104=$I$5)*($B$5:$B$104=$I$7)*ROW($A$5:$A$104)),0)</f>
        <v>13</v>
      </c>
    </row>
    <row r="13" customFormat="false" ht="15" hidden="false" customHeight="false" outlineLevel="0" collapsed="false">
      <c r="A13" s="22" t="s">
        <v>99</v>
      </c>
      <c r="B13" s="24" t="n">
        <v>45077</v>
      </c>
      <c r="C13" s="22" t="s">
        <v>256</v>
      </c>
      <c r="D13" s="22" t="s">
        <v>247</v>
      </c>
      <c r="E13" s="22" t="s">
        <v>244</v>
      </c>
      <c r="F13" s="22" t="s">
        <v>245</v>
      </c>
    </row>
    <row r="14" customFormat="false" ht="15" hidden="false" customHeight="false" outlineLevel="0" collapsed="false">
      <c r="A14" s="22"/>
      <c r="B14" s="24"/>
      <c r="C14" s="22"/>
      <c r="D14" s="22"/>
      <c r="E14" s="22"/>
      <c r="F14" s="22"/>
    </row>
    <row r="15" customFormat="false" ht="15" hidden="false" customHeight="false" outlineLevel="0" collapsed="false">
      <c r="A15" s="22"/>
      <c r="B15" s="24"/>
      <c r="C15" s="22"/>
      <c r="D15" s="22"/>
      <c r="E15" s="22"/>
      <c r="F15" s="22"/>
    </row>
    <row r="16" customFormat="false" ht="15" hidden="false" customHeight="false" outlineLevel="0" collapsed="false">
      <c r="A16" s="22"/>
      <c r="B16" s="24"/>
      <c r="C16" s="22"/>
      <c r="D16" s="22"/>
      <c r="E16" s="22"/>
      <c r="F16" s="22"/>
    </row>
    <row r="17" customFormat="false" ht="15" hidden="false" customHeight="false" outlineLevel="0" collapsed="false">
      <c r="A17" s="22"/>
      <c r="B17" s="24"/>
      <c r="C17" s="22"/>
      <c r="D17" s="22"/>
      <c r="E17" s="22"/>
      <c r="F17" s="22"/>
    </row>
    <row r="18" customFormat="false" ht="15" hidden="false" customHeight="false" outlineLevel="0" collapsed="false">
      <c r="A18" s="22"/>
      <c r="B18" s="24"/>
      <c r="C18" s="22"/>
      <c r="D18" s="22"/>
      <c r="E18" s="22"/>
      <c r="F18" s="22"/>
    </row>
    <row r="19" customFormat="false" ht="15" hidden="false" customHeight="false" outlineLevel="0" collapsed="false">
      <c r="A19" s="22"/>
      <c r="B19" s="24"/>
      <c r="C19" s="22"/>
      <c r="D19" s="22"/>
      <c r="E19" s="22"/>
      <c r="F19" s="22"/>
    </row>
    <row r="20" customFormat="false" ht="15" hidden="false" customHeight="false" outlineLevel="0" collapsed="false">
      <c r="A20" s="22"/>
      <c r="B20" s="24"/>
      <c r="C20" s="22"/>
      <c r="D20" s="22"/>
      <c r="E20" s="22"/>
      <c r="F20" s="22"/>
    </row>
    <row r="21" customFormat="false" ht="15" hidden="false" customHeight="false" outlineLevel="0" collapsed="false">
      <c r="A21" s="22"/>
      <c r="B21" s="24"/>
      <c r="C21" s="22"/>
      <c r="D21" s="22"/>
      <c r="E21" s="22"/>
      <c r="F21" s="22"/>
    </row>
    <row r="22" customFormat="false" ht="15" hidden="false" customHeight="false" outlineLevel="0" collapsed="false">
      <c r="A22" s="22"/>
      <c r="B22" s="24"/>
      <c r="C22" s="22"/>
      <c r="D22" s="22"/>
      <c r="E22" s="22"/>
      <c r="F22" s="22"/>
    </row>
    <row r="23" customFormat="false" ht="15" hidden="false" customHeight="false" outlineLevel="0" collapsed="false">
      <c r="A23" s="22"/>
      <c r="B23" s="24"/>
      <c r="C23" s="22"/>
      <c r="D23" s="22"/>
      <c r="E23" s="22"/>
      <c r="F23" s="22"/>
    </row>
    <row r="24" customFormat="false" ht="15" hidden="false" customHeight="false" outlineLevel="0" collapsed="false">
      <c r="A24" s="22"/>
      <c r="B24" s="24"/>
      <c r="C24" s="22"/>
      <c r="D24" s="22"/>
      <c r="E24" s="22"/>
      <c r="F24" s="22"/>
    </row>
    <row r="25" customFormat="false" ht="15" hidden="false" customHeight="false" outlineLevel="0" collapsed="false">
      <c r="A25" s="22"/>
      <c r="B25" s="24"/>
      <c r="C25" s="22"/>
      <c r="D25" s="22"/>
      <c r="E25" s="22"/>
      <c r="F25" s="22"/>
    </row>
    <row r="26" customFormat="false" ht="15" hidden="false" customHeight="false" outlineLevel="0" collapsed="false">
      <c r="A26" s="22"/>
      <c r="B26" s="24"/>
      <c r="C26" s="22"/>
      <c r="D26" s="22"/>
      <c r="E26" s="22"/>
      <c r="F26" s="22"/>
    </row>
    <row r="27" customFormat="false" ht="15" hidden="false" customHeight="false" outlineLevel="0" collapsed="false">
      <c r="A27" s="22"/>
      <c r="B27" s="24"/>
      <c r="C27" s="22"/>
      <c r="D27" s="22"/>
      <c r="E27" s="22"/>
      <c r="F27" s="22"/>
    </row>
    <row r="28" customFormat="false" ht="15" hidden="false" customHeight="false" outlineLevel="0" collapsed="false">
      <c r="A28" s="22"/>
      <c r="B28" s="24"/>
      <c r="C28" s="22"/>
      <c r="D28" s="22"/>
      <c r="E28" s="22"/>
      <c r="F28" s="22"/>
    </row>
    <row r="29" customFormat="false" ht="15" hidden="false" customHeight="false" outlineLevel="0" collapsed="false">
      <c r="A29" s="22"/>
      <c r="B29" s="24"/>
      <c r="C29" s="22"/>
      <c r="D29" s="22"/>
      <c r="E29" s="22"/>
      <c r="F29" s="22"/>
    </row>
    <row r="30" customFormat="false" ht="15" hidden="false" customHeight="false" outlineLevel="0" collapsed="false">
      <c r="A30" s="22"/>
      <c r="B30" s="24"/>
      <c r="C30" s="22"/>
      <c r="D30" s="22"/>
      <c r="E30" s="22"/>
      <c r="F30" s="22"/>
    </row>
    <row r="31" customFormat="false" ht="15" hidden="false" customHeight="false" outlineLevel="0" collapsed="false">
      <c r="A31" s="22"/>
      <c r="B31" s="24"/>
      <c r="C31" s="22"/>
      <c r="D31" s="22"/>
      <c r="E31" s="22"/>
      <c r="F31" s="22"/>
    </row>
    <row r="32" customFormat="false" ht="15" hidden="false" customHeight="false" outlineLevel="0" collapsed="false">
      <c r="A32" s="22"/>
      <c r="B32" s="24"/>
      <c r="C32" s="22"/>
      <c r="D32" s="22"/>
      <c r="E32" s="22"/>
      <c r="F32" s="22"/>
    </row>
    <row r="33" customFormat="false" ht="15" hidden="false" customHeight="false" outlineLevel="0" collapsed="false">
      <c r="A33" s="22"/>
      <c r="B33" s="24"/>
      <c r="C33" s="22"/>
      <c r="D33" s="22"/>
      <c r="E33" s="22"/>
      <c r="F33" s="22"/>
    </row>
    <row r="34" customFormat="false" ht="15" hidden="false" customHeight="false" outlineLevel="0" collapsed="false">
      <c r="A34" s="22"/>
      <c r="B34" s="24"/>
      <c r="C34" s="22"/>
      <c r="D34" s="22"/>
      <c r="E34" s="22"/>
      <c r="F34" s="22"/>
    </row>
    <row r="35" customFormat="false" ht="15" hidden="false" customHeight="false" outlineLevel="0" collapsed="false">
      <c r="A35" s="22"/>
      <c r="B35" s="24"/>
      <c r="C35" s="22"/>
      <c r="D35" s="22"/>
      <c r="E35" s="22"/>
      <c r="F35" s="22"/>
    </row>
    <row r="36" customFormat="false" ht="15" hidden="false" customHeight="false" outlineLevel="0" collapsed="false">
      <c r="A36" s="22"/>
      <c r="B36" s="24"/>
      <c r="C36" s="22"/>
      <c r="D36" s="22"/>
      <c r="E36" s="22"/>
      <c r="F36" s="22"/>
    </row>
    <row r="37" customFormat="false" ht="15" hidden="false" customHeight="false" outlineLevel="0" collapsed="false">
      <c r="A37" s="22"/>
      <c r="B37" s="24"/>
      <c r="C37" s="22"/>
      <c r="D37" s="22"/>
      <c r="E37" s="22"/>
      <c r="F37" s="22"/>
    </row>
    <row r="38" customFormat="false" ht="15" hidden="false" customHeight="false" outlineLevel="0" collapsed="false">
      <c r="A38" s="22"/>
      <c r="B38" s="24"/>
      <c r="C38" s="22"/>
      <c r="D38" s="22"/>
      <c r="E38" s="22"/>
      <c r="F38" s="22"/>
    </row>
    <row r="39" customFormat="false" ht="15" hidden="false" customHeight="false" outlineLevel="0" collapsed="false">
      <c r="A39" s="22"/>
      <c r="B39" s="24"/>
      <c r="C39" s="22"/>
      <c r="D39" s="22"/>
      <c r="E39" s="22"/>
      <c r="F39" s="22"/>
    </row>
    <row r="40" customFormat="false" ht="15" hidden="false" customHeight="false" outlineLevel="0" collapsed="false">
      <c r="A40" s="22"/>
      <c r="B40" s="24"/>
      <c r="C40" s="22"/>
      <c r="D40" s="22"/>
      <c r="E40" s="22"/>
      <c r="F40" s="22"/>
    </row>
    <row r="41" customFormat="false" ht="15" hidden="false" customHeight="false" outlineLevel="0" collapsed="false">
      <c r="A41" s="22"/>
      <c r="B41" s="24"/>
      <c r="C41" s="22"/>
      <c r="D41" s="22"/>
      <c r="E41" s="22"/>
      <c r="F41" s="22"/>
    </row>
    <row r="42" customFormat="false" ht="15" hidden="false" customHeight="false" outlineLevel="0" collapsed="false">
      <c r="A42" s="22"/>
      <c r="B42" s="24"/>
      <c r="C42" s="22"/>
      <c r="D42" s="22"/>
      <c r="E42" s="22"/>
      <c r="F42" s="22"/>
    </row>
    <row r="43" customFormat="false" ht="15" hidden="false" customHeight="false" outlineLevel="0" collapsed="false">
      <c r="A43" s="22"/>
      <c r="B43" s="24"/>
      <c r="C43" s="22"/>
      <c r="D43" s="22"/>
      <c r="E43" s="22"/>
      <c r="F43" s="22"/>
    </row>
    <row r="44" customFormat="false" ht="15" hidden="false" customHeight="false" outlineLevel="0" collapsed="false">
      <c r="A44" s="22"/>
      <c r="B44" s="24"/>
      <c r="C44" s="22"/>
      <c r="D44" s="22"/>
      <c r="E44" s="22"/>
      <c r="F44" s="22"/>
    </row>
    <row r="45" customFormat="false" ht="15" hidden="false" customHeight="false" outlineLevel="0" collapsed="false">
      <c r="A45" s="22"/>
      <c r="B45" s="24"/>
      <c r="C45" s="22"/>
      <c r="D45" s="22"/>
      <c r="E45" s="22"/>
      <c r="F45" s="22"/>
    </row>
    <row r="46" customFormat="false" ht="15" hidden="false" customHeight="false" outlineLevel="0" collapsed="false">
      <c r="A46" s="22"/>
      <c r="B46" s="24"/>
      <c r="C46" s="22"/>
      <c r="D46" s="22"/>
      <c r="E46" s="22"/>
      <c r="F46" s="22"/>
    </row>
    <row r="47" customFormat="false" ht="15" hidden="false" customHeight="false" outlineLevel="0" collapsed="false">
      <c r="A47" s="22"/>
      <c r="B47" s="24"/>
      <c r="C47" s="22"/>
      <c r="D47" s="22"/>
      <c r="E47" s="22"/>
      <c r="F47" s="22"/>
    </row>
    <row r="48" customFormat="false" ht="15" hidden="false" customHeight="false" outlineLevel="0" collapsed="false">
      <c r="A48" s="22"/>
      <c r="B48" s="24"/>
      <c r="C48" s="22"/>
      <c r="D48" s="22"/>
      <c r="E48" s="22"/>
      <c r="F48" s="22"/>
    </row>
    <row r="49" customFormat="false" ht="15" hidden="false" customHeight="false" outlineLevel="0" collapsed="false">
      <c r="A49" s="22"/>
      <c r="B49" s="24"/>
      <c r="C49" s="22"/>
      <c r="D49" s="22"/>
      <c r="E49" s="22"/>
      <c r="F49" s="22"/>
    </row>
    <row r="50" customFormat="false" ht="15" hidden="false" customHeight="false" outlineLevel="0" collapsed="false">
      <c r="A50" s="22"/>
      <c r="B50" s="24"/>
      <c r="C50" s="22"/>
      <c r="D50" s="22"/>
      <c r="E50" s="22"/>
      <c r="F50" s="22"/>
    </row>
    <row r="51" customFormat="false" ht="15" hidden="false" customHeight="false" outlineLevel="0" collapsed="false">
      <c r="A51" s="22"/>
      <c r="B51" s="24"/>
      <c r="C51" s="22"/>
      <c r="D51" s="22"/>
      <c r="E51" s="22"/>
      <c r="F51" s="22"/>
    </row>
    <row r="52" customFormat="false" ht="15" hidden="false" customHeight="false" outlineLevel="0" collapsed="false">
      <c r="A52" s="22"/>
      <c r="B52" s="24"/>
      <c r="C52" s="22"/>
      <c r="D52" s="22"/>
      <c r="E52" s="22"/>
      <c r="F52" s="22"/>
    </row>
    <row r="53" customFormat="false" ht="15" hidden="false" customHeight="false" outlineLevel="0" collapsed="false">
      <c r="A53" s="22"/>
      <c r="B53" s="24"/>
      <c r="C53" s="22"/>
      <c r="D53" s="22"/>
      <c r="E53" s="22"/>
      <c r="F53" s="22"/>
    </row>
    <row r="54" customFormat="false" ht="15" hidden="false" customHeight="false" outlineLevel="0" collapsed="false">
      <c r="A54" s="22"/>
      <c r="B54" s="24"/>
      <c r="C54" s="22"/>
      <c r="D54" s="22"/>
      <c r="E54" s="22"/>
      <c r="F54" s="22"/>
    </row>
    <row r="55" customFormat="false" ht="15" hidden="false" customHeight="false" outlineLevel="0" collapsed="false">
      <c r="A55" s="22"/>
      <c r="B55" s="24"/>
      <c r="C55" s="22"/>
      <c r="D55" s="22"/>
      <c r="E55" s="22"/>
      <c r="F55" s="22"/>
    </row>
    <row r="56" customFormat="false" ht="15" hidden="false" customHeight="false" outlineLevel="0" collapsed="false">
      <c r="A56" s="22"/>
      <c r="B56" s="24"/>
      <c r="C56" s="22"/>
      <c r="D56" s="22"/>
      <c r="E56" s="22"/>
      <c r="F56" s="22"/>
    </row>
    <row r="57" customFormat="false" ht="15" hidden="false" customHeight="false" outlineLevel="0" collapsed="false">
      <c r="A57" s="22"/>
      <c r="B57" s="24"/>
      <c r="C57" s="22"/>
      <c r="D57" s="22"/>
      <c r="E57" s="22"/>
      <c r="F57" s="22"/>
    </row>
    <row r="58" customFormat="false" ht="15" hidden="false" customHeight="false" outlineLevel="0" collapsed="false">
      <c r="A58" s="22"/>
      <c r="B58" s="24"/>
      <c r="C58" s="22"/>
      <c r="D58" s="22"/>
      <c r="E58" s="22"/>
      <c r="F58" s="22"/>
    </row>
    <row r="59" customFormat="false" ht="15" hidden="false" customHeight="false" outlineLevel="0" collapsed="false">
      <c r="A59" s="22"/>
      <c r="B59" s="24"/>
      <c r="C59" s="22"/>
      <c r="D59" s="22"/>
      <c r="E59" s="22"/>
      <c r="F59" s="22"/>
    </row>
    <row r="60" customFormat="false" ht="15" hidden="false" customHeight="false" outlineLevel="0" collapsed="false">
      <c r="A60" s="22"/>
      <c r="B60" s="24"/>
      <c r="C60" s="22"/>
      <c r="D60" s="22"/>
      <c r="E60" s="22"/>
      <c r="F60" s="22"/>
    </row>
    <row r="61" customFormat="false" ht="15" hidden="false" customHeight="false" outlineLevel="0" collapsed="false">
      <c r="A61" s="22"/>
      <c r="B61" s="24"/>
      <c r="C61" s="22"/>
      <c r="D61" s="22"/>
      <c r="E61" s="22"/>
      <c r="F61" s="22"/>
    </row>
    <row r="62" customFormat="false" ht="15" hidden="false" customHeight="false" outlineLevel="0" collapsed="false">
      <c r="A62" s="22"/>
      <c r="B62" s="24"/>
      <c r="C62" s="22"/>
      <c r="D62" s="22"/>
      <c r="E62" s="22"/>
      <c r="F62" s="22"/>
    </row>
    <row r="63" customFormat="false" ht="15" hidden="false" customHeight="false" outlineLevel="0" collapsed="false">
      <c r="A63" s="22"/>
      <c r="B63" s="24"/>
      <c r="C63" s="22"/>
      <c r="D63" s="22"/>
      <c r="E63" s="22"/>
      <c r="F63" s="22"/>
    </row>
    <row r="64" customFormat="false" ht="15" hidden="false" customHeight="false" outlineLevel="0" collapsed="false">
      <c r="A64" s="22"/>
      <c r="B64" s="24"/>
      <c r="C64" s="22"/>
      <c r="D64" s="22"/>
      <c r="E64" s="22"/>
      <c r="F64" s="22"/>
    </row>
    <row r="65" customFormat="false" ht="15" hidden="false" customHeight="false" outlineLevel="0" collapsed="false">
      <c r="A65" s="22"/>
      <c r="B65" s="24"/>
      <c r="C65" s="22"/>
      <c r="D65" s="22"/>
      <c r="E65" s="22"/>
      <c r="F65" s="22"/>
    </row>
    <row r="66" customFormat="false" ht="15" hidden="false" customHeight="false" outlineLevel="0" collapsed="false">
      <c r="A66" s="22"/>
      <c r="B66" s="24"/>
      <c r="C66" s="22"/>
      <c r="D66" s="22"/>
      <c r="E66" s="22"/>
      <c r="F66" s="22"/>
    </row>
    <row r="67" customFormat="false" ht="15" hidden="false" customHeight="false" outlineLevel="0" collapsed="false">
      <c r="A67" s="22"/>
      <c r="B67" s="24"/>
      <c r="C67" s="22"/>
      <c r="D67" s="22"/>
      <c r="E67" s="22"/>
      <c r="F67" s="22"/>
    </row>
    <row r="68" customFormat="false" ht="15" hidden="false" customHeight="false" outlineLevel="0" collapsed="false">
      <c r="A68" s="22"/>
      <c r="B68" s="24"/>
      <c r="C68" s="22"/>
      <c r="D68" s="22"/>
      <c r="E68" s="22"/>
      <c r="F68" s="22"/>
    </row>
    <row r="69" customFormat="false" ht="15" hidden="false" customHeight="false" outlineLevel="0" collapsed="false">
      <c r="A69" s="22"/>
      <c r="B69" s="24"/>
      <c r="C69" s="22"/>
      <c r="D69" s="22"/>
      <c r="E69" s="22"/>
      <c r="F69" s="22"/>
    </row>
    <row r="70" customFormat="false" ht="15" hidden="false" customHeight="false" outlineLevel="0" collapsed="false">
      <c r="A70" s="22"/>
      <c r="B70" s="24"/>
      <c r="C70" s="22"/>
      <c r="D70" s="22"/>
      <c r="E70" s="22"/>
      <c r="F70" s="22"/>
    </row>
    <row r="71" customFormat="false" ht="15" hidden="false" customHeight="false" outlineLevel="0" collapsed="false">
      <c r="A71" s="22"/>
      <c r="B71" s="24"/>
      <c r="C71" s="22"/>
      <c r="D71" s="22"/>
      <c r="E71" s="22"/>
      <c r="F71" s="22"/>
    </row>
    <row r="72" customFormat="false" ht="15" hidden="false" customHeight="false" outlineLevel="0" collapsed="false">
      <c r="A72" s="22"/>
      <c r="B72" s="24"/>
      <c r="C72" s="22"/>
      <c r="D72" s="22"/>
      <c r="E72" s="22"/>
      <c r="F72" s="22"/>
    </row>
    <row r="73" customFormat="false" ht="15" hidden="false" customHeight="false" outlineLevel="0" collapsed="false">
      <c r="A73" s="22"/>
      <c r="B73" s="24"/>
      <c r="C73" s="22"/>
      <c r="D73" s="22"/>
      <c r="E73" s="22"/>
      <c r="F73" s="22"/>
    </row>
    <row r="74" customFormat="false" ht="15" hidden="false" customHeight="false" outlineLevel="0" collapsed="false">
      <c r="A74" s="22"/>
      <c r="B74" s="24"/>
      <c r="C74" s="22"/>
      <c r="D74" s="22"/>
      <c r="E74" s="22"/>
      <c r="F74" s="22"/>
    </row>
    <row r="75" customFormat="false" ht="15" hidden="false" customHeight="false" outlineLevel="0" collapsed="false">
      <c r="A75" s="22"/>
      <c r="B75" s="24"/>
      <c r="C75" s="22"/>
      <c r="D75" s="22"/>
      <c r="E75" s="22"/>
      <c r="F75" s="22"/>
    </row>
    <row r="76" customFormat="false" ht="15" hidden="false" customHeight="false" outlineLevel="0" collapsed="false">
      <c r="A76" s="22"/>
      <c r="B76" s="24"/>
      <c r="C76" s="22"/>
      <c r="D76" s="22"/>
      <c r="E76" s="22"/>
      <c r="F76" s="22"/>
    </row>
    <row r="77" customFormat="false" ht="15" hidden="false" customHeight="false" outlineLevel="0" collapsed="false">
      <c r="A77" s="22"/>
      <c r="B77" s="24"/>
      <c r="C77" s="22"/>
      <c r="D77" s="22"/>
      <c r="E77" s="22"/>
      <c r="F77" s="22"/>
    </row>
    <row r="78" customFormat="false" ht="15" hidden="false" customHeight="false" outlineLevel="0" collapsed="false">
      <c r="A78" s="22"/>
      <c r="B78" s="24"/>
      <c r="C78" s="22"/>
      <c r="D78" s="22"/>
      <c r="E78" s="22"/>
      <c r="F78" s="22"/>
    </row>
    <row r="79" customFormat="false" ht="15" hidden="false" customHeight="false" outlineLevel="0" collapsed="false">
      <c r="A79" s="22"/>
      <c r="B79" s="24"/>
      <c r="C79" s="22"/>
      <c r="D79" s="22"/>
      <c r="E79" s="22"/>
      <c r="F79" s="22"/>
    </row>
    <row r="80" customFormat="false" ht="15" hidden="false" customHeight="false" outlineLevel="0" collapsed="false">
      <c r="A80" s="22"/>
      <c r="B80" s="24"/>
      <c r="C80" s="22"/>
      <c r="D80" s="22"/>
      <c r="E80" s="22"/>
      <c r="F80" s="22"/>
    </row>
    <row r="81" customFormat="false" ht="15" hidden="false" customHeight="false" outlineLevel="0" collapsed="false">
      <c r="A81" s="22"/>
      <c r="B81" s="24"/>
      <c r="C81" s="22"/>
      <c r="D81" s="22"/>
      <c r="E81" s="22"/>
      <c r="F81" s="22"/>
    </row>
    <row r="82" customFormat="false" ht="15" hidden="false" customHeight="false" outlineLevel="0" collapsed="false">
      <c r="A82" s="22"/>
      <c r="B82" s="24"/>
      <c r="C82" s="22"/>
      <c r="D82" s="22"/>
      <c r="E82" s="22"/>
      <c r="F82" s="22"/>
    </row>
    <row r="83" customFormat="false" ht="15" hidden="false" customHeight="false" outlineLevel="0" collapsed="false">
      <c r="A83" s="22"/>
      <c r="B83" s="24"/>
      <c r="C83" s="22"/>
      <c r="D83" s="22"/>
      <c r="E83" s="22"/>
      <c r="F83" s="22"/>
    </row>
    <row r="84" customFormat="false" ht="15" hidden="false" customHeight="false" outlineLevel="0" collapsed="false">
      <c r="A84" s="22"/>
      <c r="B84" s="24"/>
      <c r="C84" s="22"/>
      <c r="D84" s="22"/>
      <c r="E84" s="22"/>
      <c r="F84" s="22"/>
    </row>
    <row r="85" customFormat="false" ht="15" hidden="false" customHeight="false" outlineLevel="0" collapsed="false">
      <c r="A85" s="22"/>
      <c r="B85" s="24"/>
      <c r="C85" s="22"/>
      <c r="D85" s="22"/>
      <c r="E85" s="22"/>
      <c r="F85" s="22"/>
    </row>
    <row r="86" customFormat="false" ht="15" hidden="false" customHeight="false" outlineLevel="0" collapsed="false">
      <c r="A86" s="22"/>
      <c r="B86" s="24"/>
      <c r="C86" s="22"/>
      <c r="D86" s="22"/>
      <c r="E86" s="22"/>
      <c r="F86" s="22"/>
    </row>
    <row r="87" customFormat="false" ht="15" hidden="false" customHeight="false" outlineLevel="0" collapsed="false">
      <c r="A87" s="22"/>
      <c r="B87" s="24"/>
      <c r="C87" s="22"/>
      <c r="D87" s="22"/>
      <c r="E87" s="22"/>
      <c r="F87" s="22"/>
    </row>
    <row r="88" customFormat="false" ht="15" hidden="false" customHeight="false" outlineLevel="0" collapsed="false">
      <c r="A88" s="22"/>
      <c r="B88" s="24"/>
      <c r="C88" s="22"/>
      <c r="D88" s="22"/>
      <c r="E88" s="22"/>
      <c r="F88" s="22"/>
    </row>
    <row r="89" customFormat="false" ht="15" hidden="false" customHeight="false" outlineLevel="0" collapsed="false">
      <c r="A89" s="22"/>
      <c r="B89" s="24"/>
      <c r="C89" s="22"/>
      <c r="D89" s="22"/>
      <c r="E89" s="22"/>
      <c r="F89" s="22"/>
    </row>
    <row r="90" customFormat="false" ht="15" hidden="false" customHeight="false" outlineLevel="0" collapsed="false">
      <c r="A90" s="22"/>
      <c r="B90" s="24"/>
      <c r="C90" s="22"/>
      <c r="D90" s="22"/>
      <c r="E90" s="22"/>
      <c r="F90" s="22"/>
    </row>
    <row r="91" customFormat="false" ht="15" hidden="false" customHeight="false" outlineLevel="0" collapsed="false">
      <c r="A91" s="22"/>
      <c r="B91" s="24"/>
      <c r="C91" s="22"/>
      <c r="D91" s="22"/>
      <c r="E91" s="22"/>
      <c r="F91" s="22"/>
    </row>
    <row r="92" customFormat="false" ht="15" hidden="false" customHeight="false" outlineLevel="0" collapsed="false">
      <c r="A92" s="22"/>
      <c r="B92" s="24"/>
      <c r="C92" s="22"/>
      <c r="D92" s="22"/>
      <c r="E92" s="22"/>
      <c r="F92" s="22"/>
    </row>
    <row r="93" customFormat="false" ht="15" hidden="false" customHeight="false" outlineLevel="0" collapsed="false">
      <c r="A93" s="22"/>
      <c r="B93" s="24"/>
      <c r="C93" s="22"/>
      <c r="D93" s="22"/>
      <c r="E93" s="22"/>
      <c r="F93" s="22"/>
    </row>
    <row r="94" customFormat="false" ht="15" hidden="false" customHeight="false" outlineLevel="0" collapsed="false">
      <c r="A94" s="22"/>
      <c r="B94" s="24"/>
      <c r="C94" s="22"/>
      <c r="D94" s="22"/>
      <c r="E94" s="22"/>
      <c r="F94" s="22"/>
    </row>
    <row r="95" customFormat="false" ht="15" hidden="false" customHeight="false" outlineLevel="0" collapsed="false">
      <c r="A95" s="22"/>
      <c r="B95" s="24"/>
      <c r="C95" s="22"/>
      <c r="D95" s="22"/>
      <c r="E95" s="22"/>
      <c r="F95" s="22"/>
    </row>
    <row r="96" customFormat="false" ht="15" hidden="false" customHeight="false" outlineLevel="0" collapsed="false">
      <c r="A96" s="22"/>
      <c r="B96" s="24"/>
      <c r="C96" s="22"/>
      <c r="D96" s="22"/>
      <c r="E96" s="22"/>
      <c r="F96" s="22"/>
    </row>
    <row r="97" customFormat="false" ht="15" hidden="false" customHeight="false" outlineLevel="0" collapsed="false">
      <c r="A97" s="22"/>
      <c r="B97" s="24"/>
      <c r="C97" s="22"/>
      <c r="D97" s="22"/>
      <c r="E97" s="22"/>
      <c r="F97" s="22"/>
    </row>
    <row r="98" customFormat="false" ht="15" hidden="false" customHeight="false" outlineLevel="0" collapsed="false">
      <c r="A98" s="22"/>
      <c r="B98" s="24"/>
      <c r="C98" s="22"/>
      <c r="D98" s="22"/>
      <c r="E98" s="22"/>
      <c r="F98" s="22"/>
    </row>
    <row r="99" customFormat="false" ht="15" hidden="false" customHeight="false" outlineLevel="0" collapsed="false">
      <c r="A99" s="22"/>
      <c r="B99" s="24"/>
      <c r="C99" s="22"/>
      <c r="D99" s="22"/>
      <c r="E99" s="22"/>
      <c r="F99" s="22"/>
    </row>
    <row r="100" customFormat="false" ht="15" hidden="false" customHeight="false" outlineLevel="0" collapsed="false">
      <c r="A100" s="22"/>
      <c r="B100" s="24"/>
      <c r="C100" s="22"/>
      <c r="D100" s="22"/>
      <c r="E100" s="22"/>
      <c r="F100" s="22"/>
    </row>
    <row r="101" customFormat="false" ht="15" hidden="false" customHeight="false" outlineLevel="0" collapsed="false">
      <c r="A101" s="22"/>
      <c r="B101" s="24"/>
      <c r="C101" s="22"/>
      <c r="D101" s="22"/>
      <c r="E101" s="22"/>
      <c r="F101" s="22"/>
    </row>
    <row r="102" customFormat="false" ht="15" hidden="false" customHeight="false" outlineLevel="0" collapsed="false">
      <c r="A102" s="22"/>
      <c r="B102" s="24"/>
      <c r="C102" s="22"/>
      <c r="D102" s="22"/>
      <c r="E102" s="22"/>
      <c r="F102" s="22"/>
    </row>
    <row r="103" customFormat="false" ht="15" hidden="false" customHeight="false" outlineLevel="0" collapsed="false">
      <c r="A103" s="22"/>
      <c r="B103" s="24"/>
      <c r="C103" s="22"/>
      <c r="D103" s="22"/>
      <c r="E103" s="22"/>
      <c r="F103" s="22"/>
    </row>
    <row r="104" customFormat="false" ht="15" hidden="false" customHeight="false" outlineLevel="0" collapsed="false">
      <c r="A104" s="22"/>
      <c r="B104" s="24"/>
      <c r="C104" s="22"/>
      <c r="D104" s="22"/>
      <c r="E104" s="22"/>
      <c r="F104" s="22"/>
    </row>
  </sheetData>
  <dataValidations count="4">
    <dataValidation allowBlank="true" error="Enter a valid date" errorStyle="stop" operator="greaterThan" showDropDown="false" showErrorMessage="true" showInputMessage="false" sqref="B5:B7 I6 B8:B104" type="date">
      <formula1>43831</formula1>
      <formula2>0</formula2>
    </dataValidation>
    <dataValidation allowBlank="true" errorStyle="stop" operator="between" showDropDown="false" showErrorMessage="true" showInputMessage="false" sqref="A5:A104" type="list">
      <formula1>Employees!$A$5:$A$200</formula1>
      <formula2>0</formula2>
    </dataValidation>
    <dataValidation allowBlank="true" errorStyle="stop" operator="between" showDropDown="false" showErrorMessage="true" showInputMessage="false" sqref="C5:C104" type="list">
      <formula1>"Hire,Promotion,Transfer,Transfer + Promotion,Job Change,Termination"</formula1>
      <formula2>0</formula2>
    </dataValidation>
    <dataValidation allowBlank="true" errorStyle="stop" operator="between" showDropDown="false" showErrorMessage="true" showInputMessage="false" sqref="I5" type="list">
      <formula1>Employees!$A$5:$A$200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D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50"/>
    <col collapsed="false" customWidth="true" hidden="false" outlineLevel="0" max="4" min="4" style="0" width="36"/>
  </cols>
  <sheetData>
    <row r="1" customFormat="false" ht="19.7" hidden="false" customHeight="false" outlineLevel="0" collapsed="false">
      <c r="A1" s="1" t="s">
        <v>257</v>
      </c>
    </row>
    <row r="2" customFormat="false" ht="15" hidden="false" customHeight="false" outlineLevel="0" collapsed="false">
      <c r="A2" s="2" t="s">
        <v>258</v>
      </c>
    </row>
    <row r="4" customFormat="false" ht="31.5" hidden="false" customHeight="true" outlineLevel="0" collapsed="false">
      <c r="A4" s="11" t="s">
        <v>259</v>
      </c>
      <c r="B4" s="11" t="s">
        <v>260</v>
      </c>
      <c r="C4" s="11" t="s">
        <v>261</v>
      </c>
      <c r="D4" s="11" t="s">
        <v>262</v>
      </c>
    </row>
    <row r="5" customFormat="false" ht="42" hidden="false" customHeight="true" outlineLevel="0" collapsed="false">
      <c r="A5" s="40" t="s">
        <v>263</v>
      </c>
      <c r="B5" s="41" t="s">
        <v>264</v>
      </c>
      <c r="C5" s="41" t="s">
        <v>265</v>
      </c>
      <c r="D5" s="41" t="s">
        <v>266</v>
      </c>
    </row>
    <row r="6" customFormat="false" ht="42" hidden="false" customHeight="true" outlineLevel="0" collapsed="false">
      <c r="A6" s="40" t="s">
        <v>267</v>
      </c>
      <c r="B6" s="41" t="s">
        <v>268</v>
      </c>
      <c r="C6" s="41" t="s">
        <v>269</v>
      </c>
      <c r="D6" s="41" t="s">
        <v>270</v>
      </c>
    </row>
    <row r="7" customFormat="false" ht="42" hidden="false" customHeight="true" outlineLevel="0" collapsed="false">
      <c r="A7" s="40" t="s">
        <v>271</v>
      </c>
      <c r="B7" s="41" t="s">
        <v>272</v>
      </c>
      <c r="C7" s="41" t="s">
        <v>273</v>
      </c>
      <c r="D7" s="41" t="s">
        <v>274</v>
      </c>
    </row>
    <row r="8" customFormat="false" ht="42" hidden="false" customHeight="true" outlineLevel="0" collapsed="false">
      <c r="A8" s="40" t="s">
        <v>275</v>
      </c>
      <c r="B8" s="41" t="s">
        <v>276</v>
      </c>
      <c r="C8" s="41" t="s">
        <v>277</v>
      </c>
      <c r="D8" s="41" t="s">
        <v>278</v>
      </c>
    </row>
    <row r="9" customFormat="false" ht="42" hidden="false" customHeight="true" outlineLevel="0" collapsed="false">
      <c r="A9" s="40" t="s">
        <v>279</v>
      </c>
      <c r="B9" s="41" t="s">
        <v>280</v>
      </c>
      <c r="C9" s="41" t="s">
        <v>281</v>
      </c>
      <c r="D9" s="41" t="s">
        <v>282</v>
      </c>
    </row>
    <row r="10" customFormat="false" ht="42" hidden="false" customHeight="true" outlineLevel="0" collapsed="false">
      <c r="A10" s="40" t="s">
        <v>283</v>
      </c>
      <c r="B10" s="41" t="s">
        <v>284</v>
      </c>
      <c r="C10" s="41" t="s">
        <v>285</v>
      </c>
      <c r="D10" s="41" t="s">
        <v>286</v>
      </c>
    </row>
    <row r="11" customFormat="false" ht="42" hidden="false" customHeight="true" outlineLevel="0" collapsed="false">
      <c r="A11" s="40" t="s">
        <v>287</v>
      </c>
      <c r="B11" s="41" t="s">
        <v>288</v>
      </c>
      <c r="C11" s="41" t="s">
        <v>289</v>
      </c>
      <c r="D11" s="41" t="s">
        <v>290</v>
      </c>
    </row>
    <row r="12" customFormat="false" ht="42" hidden="false" customHeight="true" outlineLevel="0" collapsed="false">
      <c r="A12" s="40" t="s">
        <v>291</v>
      </c>
      <c r="B12" s="41" t="s">
        <v>292</v>
      </c>
      <c r="C12" s="41" t="s">
        <v>293</v>
      </c>
      <c r="D12" s="41" t="s">
        <v>294</v>
      </c>
    </row>
    <row r="13" customFormat="false" ht="42" hidden="false" customHeight="true" outlineLevel="0" collapsed="false">
      <c r="A13" s="40" t="s">
        <v>295</v>
      </c>
      <c r="B13" s="41" t="s">
        <v>296</v>
      </c>
      <c r="C13" s="41" t="s">
        <v>297</v>
      </c>
      <c r="D13" s="41" t="s">
        <v>298</v>
      </c>
    </row>
    <row r="14" customFormat="false" ht="42" hidden="false" customHeight="true" outlineLevel="0" collapsed="false">
      <c r="A14" s="40" t="s">
        <v>299</v>
      </c>
      <c r="B14" s="41" t="s">
        <v>300</v>
      </c>
      <c r="C14" s="41" t="s">
        <v>301</v>
      </c>
      <c r="D14" s="41" t="s">
        <v>302</v>
      </c>
    </row>
    <row r="17" customFormat="false" ht="15" hidden="false" customHeight="false" outlineLevel="0" collapsed="false">
      <c r="A17" s="9" t="s">
        <v>303</v>
      </c>
    </row>
    <row r="18" customFormat="false" ht="31.5" hidden="false" customHeight="true" outlineLevel="0" collapsed="false">
      <c r="A18" s="11" t="s">
        <v>304</v>
      </c>
      <c r="B18" s="11" t="s">
        <v>305</v>
      </c>
      <c r="C18" s="11" t="s">
        <v>306</v>
      </c>
      <c r="D18" s="11" t="s">
        <v>307</v>
      </c>
    </row>
    <row r="19" customFormat="false" ht="55.5" hidden="false" customHeight="true" outlineLevel="0" collapsed="false">
      <c r="A19" s="40" t="s">
        <v>308</v>
      </c>
      <c r="B19" s="41" t="s">
        <v>309</v>
      </c>
      <c r="C19" s="41" t="s">
        <v>310</v>
      </c>
      <c r="D19" s="41" t="s">
        <v>311</v>
      </c>
    </row>
    <row r="20" customFormat="false" ht="55.5" hidden="false" customHeight="true" outlineLevel="0" collapsed="false">
      <c r="A20" s="40" t="s">
        <v>312</v>
      </c>
      <c r="B20" s="41" t="s">
        <v>313</v>
      </c>
      <c r="C20" s="41" t="s">
        <v>314</v>
      </c>
      <c r="D20" s="41" t="s">
        <v>315</v>
      </c>
    </row>
    <row r="21" customFormat="false" ht="55.5" hidden="false" customHeight="true" outlineLevel="0" collapsed="false">
      <c r="A21" s="40" t="s">
        <v>316</v>
      </c>
      <c r="B21" s="41" t="s">
        <v>317</v>
      </c>
      <c r="C21" s="41" t="s">
        <v>318</v>
      </c>
      <c r="D21" s="41" t="s">
        <v>319</v>
      </c>
    </row>
    <row r="22" customFormat="false" ht="55.5" hidden="false" customHeight="true" outlineLevel="0" collapsed="false">
      <c r="A22" s="40" t="s">
        <v>108</v>
      </c>
      <c r="B22" s="41" t="s">
        <v>320</v>
      </c>
      <c r="C22" s="41" t="s">
        <v>321</v>
      </c>
      <c r="D22" s="41" t="s">
        <v>322</v>
      </c>
    </row>
    <row r="23" customFormat="false" ht="55.5" hidden="false" customHeight="true" outlineLevel="0" collapsed="false">
      <c r="A23" s="40" t="s">
        <v>323</v>
      </c>
      <c r="B23" s="41" t="s">
        <v>324</v>
      </c>
      <c r="C23" s="41" t="s">
        <v>325</v>
      </c>
      <c r="D23" s="41" t="s">
        <v>326</v>
      </c>
    </row>
    <row r="24" customFormat="false" ht="55.5" hidden="false" customHeight="true" outlineLevel="0" collapsed="false">
      <c r="A24" s="40" t="s">
        <v>327</v>
      </c>
      <c r="B24" s="41" t="s">
        <v>328</v>
      </c>
      <c r="C24" s="41" t="s">
        <v>329</v>
      </c>
      <c r="D24" s="41" t="s">
        <v>330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true"/>
  </sheetPr>
  <dimension ref="A1:L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32"/>
    <col collapsed="false" customWidth="true" hidden="false" outlineLevel="0" max="4" min="4" style="0" width="20"/>
    <col collapsed="false" customWidth="true" hidden="false" outlineLevel="0" max="5" min="5" style="0" width="16"/>
    <col collapsed="false" customWidth="true" hidden="false" outlineLevel="0" max="6" min="6" style="0" width="14"/>
    <col collapsed="false" customWidth="true" hidden="false" outlineLevel="0" max="8" min="7" style="0" width="13"/>
    <col collapsed="false" customWidth="true" hidden="false" outlineLevel="0" max="11" min="9" style="0" width="10"/>
    <col collapsed="false" customWidth="true" hidden="false" outlineLevel="0" max="12" min="12" style="0" width="20"/>
  </cols>
  <sheetData>
    <row r="1" customFormat="false" ht="19.7" hidden="false" customHeight="false" outlineLevel="0" collapsed="false">
      <c r="A1" s="1" t="s">
        <v>331</v>
      </c>
    </row>
    <row r="2" customFormat="false" ht="15" hidden="false" customHeight="false" outlineLevel="0" collapsed="false">
      <c r="A2" s="2" t="s">
        <v>332</v>
      </c>
    </row>
    <row r="4" customFormat="false" ht="31.5" hidden="false" customHeight="true" outlineLevel="0" collapsed="false">
      <c r="A4" s="11" t="s">
        <v>79</v>
      </c>
      <c r="B4" s="11" t="s">
        <v>141</v>
      </c>
      <c r="C4" s="11" t="s">
        <v>333</v>
      </c>
      <c r="D4" s="11" t="s">
        <v>240</v>
      </c>
      <c r="E4" s="11" t="s">
        <v>144</v>
      </c>
      <c r="F4" s="11" t="s">
        <v>143</v>
      </c>
      <c r="G4" s="11" t="s">
        <v>334</v>
      </c>
      <c r="H4" s="11" t="s">
        <v>335</v>
      </c>
      <c r="I4" s="11" t="s">
        <v>86</v>
      </c>
      <c r="J4" s="11" t="s">
        <v>336</v>
      </c>
      <c r="K4" s="11" t="s">
        <v>181</v>
      </c>
      <c r="L4" s="11" t="s">
        <v>337</v>
      </c>
    </row>
    <row r="5" customFormat="false" ht="15" hidden="false" customHeight="false" outlineLevel="0" collapsed="false">
      <c r="A5" s="22" t="s">
        <v>93</v>
      </c>
      <c r="B5" s="22" t="s">
        <v>338</v>
      </c>
      <c r="C5" s="22" t="s">
        <v>339</v>
      </c>
      <c r="D5" s="22" t="s">
        <v>249</v>
      </c>
      <c r="E5" s="22" t="s">
        <v>250</v>
      </c>
      <c r="F5" s="22" t="s">
        <v>244</v>
      </c>
      <c r="G5" s="24" t="n">
        <v>43528</v>
      </c>
      <c r="H5" s="24"/>
      <c r="I5" s="22" t="s">
        <v>340</v>
      </c>
      <c r="J5" s="22" t="s">
        <v>129</v>
      </c>
      <c r="K5" s="22" t="s">
        <v>197</v>
      </c>
      <c r="L5" s="34" t="n">
        <v>68000</v>
      </c>
    </row>
    <row r="6" customFormat="false" ht="15" hidden="false" customHeight="false" outlineLevel="0" collapsed="false">
      <c r="A6" s="22" t="s">
        <v>104</v>
      </c>
      <c r="B6" s="22" t="s">
        <v>341</v>
      </c>
      <c r="C6" s="22" t="s">
        <v>342</v>
      </c>
      <c r="D6" s="22" t="s">
        <v>243</v>
      </c>
      <c r="E6" s="22" t="s">
        <v>245</v>
      </c>
      <c r="F6" s="22" t="s">
        <v>343</v>
      </c>
      <c r="G6" s="24" t="n">
        <v>44816</v>
      </c>
      <c r="H6" s="24"/>
      <c r="I6" s="22" t="s">
        <v>340</v>
      </c>
      <c r="J6" s="22" t="s">
        <v>129</v>
      </c>
      <c r="K6" s="22" t="s">
        <v>197</v>
      </c>
      <c r="L6" s="34" t="n">
        <v>42000</v>
      </c>
    </row>
    <row r="7" customFormat="false" ht="15" hidden="false" customHeight="false" outlineLevel="0" collapsed="false">
      <c r="A7" s="22" t="s">
        <v>109</v>
      </c>
      <c r="B7" s="22" t="s">
        <v>344</v>
      </c>
      <c r="C7" s="22" t="s">
        <v>345</v>
      </c>
      <c r="D7" s="22" t="s">
        <v>253</v>
      </c>
      <c r="E7" s="22" t="s">
        <v>253</v>
      </c>
      <c r="F7" s="22" t="s">
        <v>254</v>
      </c>
      <c r="G7" s="24" t="n">
        <v>42387</v>
      </c>
      <c r="H7" s="24"/>
      <c r="I7" s="22" t="s">
        <v>340</v>
      </c>
      <c r="J7" s="22" t="s">
        <v>120</v>
      </c>
      <c r="K7" s="22" t="s">
        <v>197</v>
      </c>
      <c r="L7" s="34" t="n">
        <v>89000</v>
      </c>
    </row>
    <row r="8" customFormat="false" ht="15" hidden="false" customHeight="false" outlineLevel="0" collapsed="false">
      <c r="A8" s="22" t="s">
        <v>99</v>
      </c>
      <c r="B8" s="22" t="s">
        <v>346</v>
      </c>
      <c r="C8" s="22" t="s">
        <v>347</v>
      </c>
      <c r="D8" s="22" t="s">
        <v>247</v>
      </c>
      <c r="E8" s="22" t="s">
        <v>245</v>
      </c>
      <c r="F8" s="22" t="s">
        <v>244</v>
      </c>
      <c r="G8" s="24" t="n">
        <v>43252</v>
      </c>
      <c r="H8" s="24" t="n">
        <v>45077</v>
      </c>
      <c r="I8" s="22" t="s">
        <v>348</v>
      </c>
      <c r="J8" s="22"/>
      <c r="K8" s="22" t="s">
        <v>200</v>
      </c>
      <c r="L8" s="34" t="n">
        <v>52000</v>
      </c>
    </row>
    <row r="9" customFormat="false" ht="15" hidden="false" customHeight="false" outlineLevel="0" collapsed="false">
      <c r="A9" s="22" t="s">
        <v>129</v>
      </c>
      <c r="B9" s="22" t="s">
        <v>349</v>
      </c>
      <c r="C9" s="22" t="s">
        <v>350</v>
      </c>
      <c r="D9" s="22" t="s">
        <v>351</v>
      </c>
      <c r="E9" s="22" t="s">
        <v>351</v>
      </c>
      <c r="F9" s="22" t="s">
        <v>244</v>
      </c>
      <c r="G9" s="24" t="n">
        <v>41204</v>
      </c>
      <c r="H9" s="24"/>
      <c r="I9" s="22" t="s">
        <v>340</v>
      </c>
      <c r="J9" s="22"/>
      <c r="K9" s="22" t="s">
        <v>197</v>
      </c>
      <c r="L9" s="34" t="n">
        <v>112000</v>
      </c>
    </row>
    <row r="10" customFormat="false" ht="15" hidden="false" customHeight="false" outlineLevel="0" collapsed="false">
      <c r="A10" s="22" t="s">
        <v>120</v>
      </c>
      <c r="B10" s="22" t="s">
        <v>352</v>
      </c>
      <c r="C10" s="22" t="s">
        <v>353</v>
      </c>
      <c r="D10" s="22" t="s">
        <v>354</v>
      </c>
      <c r="E10" s="22" t="s">
        <v>354</v>
      </c>
      <c r="F10" s="22" t="s">
        <v>254</v>
      </c>
      <c r="G10" s="24" t="n">
        <v>40224</v>
      </c>
      <c r="H10" s="24"/>
      <c r="I10" s="22" t="s">
        <v>340</v>
      </c>
      <c r="J10" s="22"/>
      <c r="K10" s="22" t="s">
        <v>197</v>
      </c>
      <c r="L10" s="34" t="n">
        <v>145000</v>
      </c>
    </row>
    <row r="11" customFormat="false" ht="15" hidden="false" customHeight="false" outlineLevel="0" collapsed="false">
      <c r="A11" s="22" t="s">
        <v>127</v>
      </c>
      <c r="B11" s="22" t="s">
        <v>355</v>
      </c>
      <c r="C11" s="22" t="s">
        <v>356</v>
      </c>
      <c r="D11" s="22" t="s">
        <v>243</v>
      </c>
      <c r="E11" s="22" t="s">
        <v>245</v>
      </c>
      <c r="F11" s="22" t="s">
        <v>343</v>
      </c>
      <c r="G11" s="24" t="n">
        <v>44382</v>
      </c>
      <c r="H11" s="24"/>
      <c r="I11" s="22" t="s">
        <v>340</v>
      </c>
      <c r="J11" s="22" t="s">
        <v>120</v>
      </c>
      <c r="K11" s="22" t="s">
        <v>200</v>
      </c>
      <c r="L11" s="34" t="n">
        <v>40000</v>
      </c>
    </row>
    <row r="12" customFormat="false" ht="15" hidden="false" customHeight="false" outlineLevel="0" collapsed="false">
      <c r="A12" s="22" t="s">
        <v>123</v>
      </c>
      <c r="B12" s="22" t="s">
        <v>357</v>
      </c>
      <c r="C12" s="22" t="s">
        <v>358</v>
      </c>
      <c r="D12" s="22" t="s">
        <v>245</v>
      </c>
      <c r="E12" s="22" t="s">
        <v>245</v>
      </c>
      <c r="F12" s="22" t="s">
        <v>244</v>
      </c>
      <c r="G12" s="24" t="n">
        <v>41743</v>
      </c>
      <c r="H12" s="24" t="n">
        <v>43434</v>
      </c>
      <c r="I12" s="22" t="s">
        <v>348</v>
      </c>
      <c r="J12" s="22"/>
      <c r="K12" s="22" t="s">
        <v>197</v>
      </c>
      <c r="L12" s="34" t="n">
        <v>45000</v>
      </c>
    </row>
    <row r="13" customFormat="false" ht="15" hidden="false" customHeight="false" outlineLevel="0" collapsed="false">
      <c r="A13" s="22"/>
      <c r="B13" s="22"/>
      <c r="C13" s="22"/>
      <c r="D13" s="22"/>
      <c r="E13" s="22"/>
      <c r="F13" s="22"/>
      <c r="G13" s="24"/>
      <c r="H13" s="24"/>
      <c r="I13" s="22"/>
      <c r="J13" s="22"/>
      <c r="K13" s="22"/>
      <c r="L13" s="34"/>
    </row>
    <row r="14" customFormat="false" ht="15" hidden="false" customHeight="false" outlineLevel="0" collapsed="false">
      <c r="A14" s="22"/>
      <c r="B14" s="22"/>
      <c r="C14" s="22"/>
      <c r="D14" s="22"/>
      <c r="E14" s="22"/>
      <c r="F14" s="22"/>
      <c r="G14" s="24"/>
      <c r="H14" s="24"/>
      <c r="I14" s="22"/>
      <c r="J14" s="22"/>
      <c r="K14" s="22"/>
      <c r="L14" s="34"/>
    </row>
    <row r="15" customFormat="false" ht="15" hidden="false" customHeight="false" outlineLevel="0" collapsed="false">
      <c r="A15" s="22"/>
      <c r="B15" s="22"/>
      <c r="C15" s="22"/>
      <c r="D15" s="22"/>
      <c r="E15" s="22"/>
      <c r="F15" s="22"/>
      <c r="G15" s="24"/>
      <c r="H15" s="24"/>
      <c r="I15" s="22"/>
      <c r="J15" s="22"/>
      <c r="K15" s="22"/>
      <c r="L15" s="34"/>
    </row>
    <row r="16" customFormat="false" ht="15" hidden="false" customHeight="false" outlineLevel="0" collapsed="false">
      <c r="A16" s="22"/>
      <c r="B16" s="22"/>
      <c r="C16" s="22"/>
      <c r="D16" s="22"/>
      <c r="E16" s="22"/>
      <c r="F16" s="22"/>
      <c r="G16" s="24"/>
      <c r="H16" s="24"/>
      <c r="I16" s="22"/>
      <c r="J16" s="22"/>
      <c r="K16" s="22"/>
      <c r="L16" s="34"/>
    </row>
    <row r="17" customFormat="false" ht="15" hidden="false" customHeight="false" outlineLevel="0" collapsed="false">
      <c r="A17" s="22"/>
      <c r="B17" s="22"/>
      <c r="C17" s="22"/>
      <c r="D17" s="22"/>
      <c r="E17" s="22"/>
      <c r="F17" s="22"/>
      <c r="G17" s="24"/>
      <c r="H17" s="24"/>
      <c r="I17" s="22"/>
      <c r="J17" s="22"/>
      <c r="K17" s="22"/>
      <c r="L17" s="34"/>
    </row>
    <row r="18" customFormat="false" ht="15" hidden="false" customHeight="false" outlineLevel="0" collapsed="false">
      <c r="A18" s="22"/>
      <c r="B18" s="22"/>
      <c r="C18" s="22"/>
      <c r="D18" s="22"/>
      <c r="E18" s="22"/>
      <c r="F18" s="22"/>
      <c r="G18" s="24"/>
      <c r="H18" s="24"/>
      <c r="I18" s="22"/>
      <c r="J18" s="22"/>
      <c r="K18" s="22"/>
      <c r="L18" s="34"/>
    </row>
    <row r="19" customFormat="false" ht="15" hidden="false" customHeight="false" outlineLevel="0" collapsed="false">
      <c r="A19" s="22"/>
      <c r="B19" s="22"/>
      <c r="C19" s="22"/>
      <c r="D19" s="22"/>
      <c r="E19" s="22"/>
      <c r="F19" s="22"/>
      <c r="G19" s="24"/>
      <c r="H19" s="24"/>
      <c r="I19" s="22"/>
      <c r="J19" s="22"/>
      <c r="K19" s="22"/>
      <c r="L19" s="34"/>
    </row>
    <row r="20" customFormat="false" ht="15" hidden="false" customHeight="false" outlineLevel="0" collapsed="false">
      <c r="A20" s="22"/>
      <c r="B20" s="22"/>
      <c r="C20" s="22"/>
      <c r="D20" s="22"/>
      <c r="E20" s="22"/>
      <c r="F20" s="22"/>
      <c r="G20" s="24"/>
      <c r="H20" s="24"/>
      <c r="I20" s="22"/>
      <c r="J20" s="22"/>
      <c r="K20" s="22"/>
      <c r="L20" s="34"/>
    </row>
    <row r="21" customFormat="false" ht="15" hidden="false" customHeight="false" outlineLevel="0" collapsed="false">
      <c r="A21" s="22"/>
      <c r="B21" s="22"/>
      <c r="C21" s="22"/>
      <c r="D21" s="22"/>
      <c r="E21" s="22"/>
      <c r="F21" s="22"/>
      <c r="G21" s="24"/>
      <c r="H21" s="24"/>
      <c r="I21" s="22"/>
      <c r="J21" s="22"/>
      <c r="K21" s="22"/>
      <c r="L21" s="34"/>
    </row>
    <row r="22" customFormat="false" ht="15" hidden="false" customHeight="false" outlineLevel="0" collapsed="false">
      <c r="A22" s="22"/>
      <c r="B22" s="22"/>
      <c r="C22" s="22"/>
      <c r="D22" s="22"/>
      <c r="E22" s="22"/>
      <c r="F22" s="22"/>
      <c r="G22" s="24"/>
      <c r="H22" s="24"/>
      <c r="I22" s="22"/>
      <c r="J22" s="22"/>
      <c r="K22" s="22"/>
      <c r="L22" s="34"/>
    </row>
    <row r="23" customFormat="false" ht="15" hidden="false" customHeight="false" outlineLevel="0" collapsed="false">
      <c r="A23" s="22"/>
      <c r="B23" s="22"/>
      <c r="C23" s="22"/>
      <c r="D23" s="22"/>
      <c r="E23" s="22"/>
      <c r="F23" s="22"/>
      <c r="G23" s="24"/>
      <c r="H23" s="24"/>
      <c r="I23" s="22"/>
      <c r="J23" s="22"/>
      <c r="K23" s="22"/>
      <c r="L23" s="34"/>
    </row>
    <row r="24" customFormat="false" ht="15" hidden="false" customHeight="false" outlineLevel="0" collapsed="false">
      <c r="A24" s="22"/>
      <c r="B24" s="22"/>
      <c r="C24" s="22"/>
      <c r="D24" s="22"/>
      <c r="E24" s="22"/>
      <c r="F24" s="22"/>
      <c r="G24" s="24"/>
      <c r="H24" s="24"/>
      <c r="I24" s="22"/>
      <c r="J24" s="22"/>
      <c r="K24" s="22"/>
      <c r="L24" s="34"/>
    </row>
    <row r="25" customFormat="false" ht="15" hidden="false" customHeight="false" outlineLevel="0" collapsed="false">
      <c r="A25" s="22"/>
      <c r="B25" s="22"/>
      <c r="C25" s="22"/>
      <c r="D25" s="22"/>
      <c r="E25" s="22"/>
      <c r="F25" s="22"/>
      <c r="G25" s="24"/>
      <c r="H25" s="24"/>
      <c r="I25" s="22"/>
      <c r="J25" s="22"/>
      <c r="K25" s="22"/>
      <c r="L25" s="34"/>
    </row>
    <row r="26" customFormat="false" ht="15" hidden="false" customHeight="false" outlineLevel="0" collapsed="false">
      <c r="A26" s="22"/>
      <c r="B26" s="22"/>
      <c r="C26" s="22"/>
      <c r="D26" s="22"/>
      <c r="E26" s="22"/>
      <c r="F26" s="22"/>
      <c r="G26" s="24"/>
      <c r="H26" s="24"/>
      <c r="I26" s="22"/>
      <c r="J26" s="22"/>
      <c r="K26" s="22"/>
      <c r="L26" s="34"/>
    </row>
    <row r="27" customFormat="false" ht="15" hidden="false" customHeight="false" outlineLevel="0" collapsed="false">
      <c r="A27" s="22"/>
      <c r="B27" s="22"/>
      <c r="C27" s="22"/>
      <c r="D27" s="22"/>
      <c r="E27" s="22"/>
      <c r="F27" s="22"/>
      <c r="G27" s="24"/>
      <c r="H27" s="24"/>
      <c r="I27" s="22"/>
      <c r="J27" s="22"/>
      <c r="K27" s="22"/>
      <c r="L27" s="34"/>
    </row>
    <row r="28" customFormat="false" ht="15" hidden="false" customHeight="false" outlineLevel="0" collapsed="false">
      <c r="A28" s="22"/>
      <c r="B28" s="22"/>
      <c r="C28" s="22"/>
      <c r="D28" s="22"/>
      <c r="E28" s="22"/>
      <c r="F28" s="22"/>
      <c r="G28" s="24"/>
      <c r="H28" s="24"/>
      <c r="I28" s="22"/>
      <c r="J28" s="22"/>
      <c r="K28" s="22"/>
      <c r="L28" s="34"/>
    </row>
    <row r="29" customFormat="false" ht="15" hidden="false" customHeight="false" outlineLevel="0" collapsed="false">
      <c r="A29" s="22"/>
      <c r="B29" s="22"/>
      <c r="C29" s="22"/>
      <c r="D29" s="22"/>
      <c r="E29" s="22"/>
      <c r="F29" s="22"/>
      <c r="G29" s="24"/>
      <c r="H29" s="24"/>
      <c r="I29" s="22"/>
      <c r="J29" s="22"/>
      <c r="K29" s="22"/>
      <c r="L29" s="34"/>
    </row>
    <row r="30" customFormat="false" ht="15" hidden="false" customHeight="false" outlineLevel="0" collapsed="false">
      <c r="A30" s="22"/>
      <c r="B30" s="22"/>
      <c r="C30" s="22"/>
      <c r="D30" s="22"/>
      <c r="E30" s="22"/>
      <c r="F30" s="22"/>
      <c r="G30" s="24"/>
      <c r="H30" s="24"/>
      <c r="I30" s="22"/>
      <c r="J30" s="22"/>
      <c r="K30" s="22"/>
      <c r="L30" s="34"/>
    </row>
    <row r="31" customFormat="false" ht="15" hidden="false" customHeight="false" outlineLevel="0" collapsed="false">
      <c r="A31" s="22"/>
      <c r="B31" s="22"/>
      <c r="C31" s="22"/>
      <c r="D31" s="22"/>
      <c r="E31" s="22"/>
      <c r="F31" s="22"/>
      <c r="G31" s="24"/>
      <c r="H31" s="24"/>
      <c r="I31" s="22"/>
      <c r="J31" s="22"/>
      <c r="K31" s="22"/>
      <c r="L31" s="34"/>
    </row>
    <row r="32" customFormat="false" ht="15" hidden="false" customHeight="false" outlineLevel="0" collapsed="false">
      <c r="A32" s="22"/>
      <c r="B32" s="22"/>
      <c r="C32" s="22"/>
      <c r="D32" s="22"/>
      <c r="E32" s="22"/>
      <c r="F32" s="22"/>
      <c r="G32" s="24"/>
      <c r="H32" s="24"/>
      <c r="I32" s="22"/>
      <c r="J32" s="22"/>
      <c r="K32" s="22"/>
      <c r="L32" s="34"/>
    </row>
    <row r="33" customFormat="false" ht="15" hidden="false" customHeight="false" outlineLevel="0" collapsed="false">
      <c r="A33" s="22"/>
      <c r="B33" s="22"/>
      <c r="C33" s="22"/>
      <c r="D33" s="22"/>
      <c r="E33" s="22"/>
      <c r="F33" s="22"/>
      <c r="G33" s="24"/>
      <c r="H33" s="24"/>
      <c r="I33" s="22"/>
      <c r="J33" s="22"/>
      <c r="K33" s="22"/>
      <c r="L33" s="34"/>
    </row>
    <row r="34" customFormat="false" ht="15" hidden="false" customHeight="false" outlineLevel="0" collapsed="false">
      <c r="A34" s="22"/>
      <c r="B34" s="22"/>
      <c r="C34" s="22"/>
      <c r="D34" s="22"/>
      <c r="E34" s="22"/>
      <c r="F34" s="22"/>
      <c r="G34" s="24"/>
      <c r="H34" s="24"/>
      <c r="I34" s="22"/>
      <c r="J34" s="22"/>
      <c r="K34" s="22"/>
      <c r="L34" s="34"/>
    </row>
    <row r="35" customFormat="false" ht="15" hidden="false" customHeight="false" outlineLevel="0" collapsed="false">
      <c r="A35" s="22"/>
      <c r="B35" s="22"/>
      <c r="C35" s="22"/>
      <c r="D35" s="22"/>
      <c r="E35" s="22"/>
      <c r="F35" s="22"/>
      <c r="G35" s="24"/>
      <c r="H35" s="24"/>
      <c r="I35" s="22"/>
      <c r="J35" s="22"/>
      <c r="K35" s="22"/>
      <c r="L35" s="34"/>
    </row>
    <row r="36" customFormat="false" ht="15" hidden="false" customHeight="false" outlineLevel="0" collapsed="false">
      <c r="A36" s="22"/>
      <c r="B36" s="22"/>
      <c r="C36" s="22"/>
      <c r="D36" s="22"/>
      <c r="E36" s="22"/>
      <c r="F36" s="22"/>
      <c r="G36" s="24"/>
      <c r="H36" s="24"/>
      <c r="I36" s="22"/>
      <c r="J36" s="22"/>
      <c r="K36" s="22"/>
      <c r="L36" s="34"/>
    </row>
    <row r="37" customFormat="false" ht="15" hidden="false" customHeight="false" outlineLevel="0" collapsed="false">
      <c r="A37" s="22"/>
      <c r="B37" s="22"/>
      <c r="C37" s="22"/>
      <c r="D37" s="22"/>
      <c r="E37" s="22"/>
      <c r="F37" s="22"/>
      <c r="G37" s="24"/>
      <c r="H37" s="24"/>
      <c r="I37" s="22"/>
      <c r="J37" s="22"/>
      <c r="K37" s="22"/>
      <c r="L37" s="34"/>
    </row>
    <row r="38" customFormat="false" ht="15" hidden="false" customHeight="false" outlineLevel="0" collapsed="false">
      <c r="A38" s="22"/>
      <c r="B38" s="22"/>
      <c r="C38" s="22"/>
      <c r="D38" s="22"/>
      <c r="E38" s="22"/>
      <c r="F38" s="22"/>
      <c r="G38" s="24"/>
      <c r="H38" s="24"/>
      <c r="I38" s="22"/>
      <c r="J38" s="22"/>
      <c r="K38" s="22"/>
      <c r="L38" s="34"/>
    </row>
    <row r="39" customFormat="false" ht="15" hidden="false" customHeight="false" outlineLevel="0" collapsed="false">
      <c r="A39" s="22"/>
      <c r="B39" s="22"/>
      <c r="C39" s="22"/>
      <c r="D39" s="22"/>
      <c r="E39" s="22"/>
      <c r="F39" s="22"/>
      <c r="G39" s="24"/>
      <c r="H39" s="24"/>
      <c r="I39" s="22"/>
      <c r="J39" s="22"/>
      <c r="K39" s="22"/>
      <c r="L39" s="34"/>
    </row>
    <row r="40" customFormat="false" ht="15" hidden="false" customHeight="false" outlineLevel="0" collapsed="false">
      <c r="A40" s="22"/>
      <c r="B40" s="22"/>
      <c r="C40" s="22"/>
      <c r="D40" s="22"/>
      <c r="E40" s="22"/>
      <c r="F40" s="22"/>
      <c r="G40" s="24"/>
      <c r="H40" s="24"/>
      <c r="I40" s="22"/>
      <c r="J40" s="22"/>
      <c r="K40" s="22"/>
      <c r="L40" s="34"/>
    </row>
    <row r="41" customFormat="false" ht="15" hidden="false" customHeight="false" outlineLevel="0" collapsed="false">
      <c r="A41" s="22"/>
      <c r="B41" s="22"/>
      <c r="C41" s="22"/>
      <c r="D41" s="22"/>
      <c r="E41" s="22"/>
      <c r="F41" s="22"/>
      <c r="G41" s="24"/>
      <c r="H41" s="24"/>
      <c r="I41" s="22"/>
      <c r="J41" s="22"/>
      <c r="K41" s="22"/>
      <c r="L41" s="34"/>
    </row>
    <row r="42" customFormat="false" ht="15" hidden="false" customHeight="false" outlineLevel="0" collapsed="false">
      <c r="A42" s="22"/>
      <c r="B42" s="22"/>
      <c r="C42" s="22"/>
      <c r="D42" s="22"/>
      <c r="E42" s="22"/>
      <c r="F42" s="22"/>
      <c r="G42" s="24"/>
      <c r="H42" s="24"/>
      <c r="I42" s="22"/>
      <c r="J42" s="22"/>
      <c r="K42" s="22"/>
      <c r="L42" s="34"/>
    </row>
    <row r="43" customFormat="false" ht="15" hidden="false" customHeight="false" outlineLevel="0" collapsed="false">
      <c r="A43" s="22"/>
      <c r="B43" s="22"/>
      <c r="C43" s="22"/>
      <c r="D43" s="22"/>
      <c r="E43" s="22"/>
      <c r="F43" s="22"/>
      <c r="G43" s="24"/>
      <c r="H43" s="24"/>
      <c r="I43" s="22"/>
      <c r="J43" s="22"/>
      <c r="K43" s="22"/>
      <c r="L43" s="34"/>
    </row>
    <row r="44" customFormat="false" ht="15" hidden="false" customHeight="false" outlineLevel="0" collapsed="false">
      <c r="A44" s="22"/>
      <c r="B44" s="22"/>
      <c r="C44" s="22"/>
      <c r="D44" s="22"/>
      <c r="E44" s="22"/>
      <c r="F44" s="22"/>
      <c r="G44" s="24"/>
      <c r="H44" s="24"/>
      <c r="I44" s="22"/>
      <c r="J44" s="22"/>
      <c r="K44" s="22"/>
      <c r="L44" s="34"/>
    </row>
    <row r="45" customFormat="false" ht="15" hidden="false" customHeight="false" outlineLevel="0" collapsed="false">
      <c r="A45" s="22"/>
      <c r="B45" s="22"/>
      <c r="C45" s="22"/>
      <c r="D45" s="22"/>
      <c r="E45" s="22"/>
      <c r="F45" s="22"/>
      <c r="G45" s="24"/>
      <c r="H45" s="24"/>
      <c r="I45" s="22"/>
      <c r="J45" s="22"/>
      <c r="K45" s="22"/>
      <c r="L45" s="34"/>
    </row>
    <row r="46" customFormat="false" ht="15" hidden="false" customHeight="false" outlineLevel="0" collapsed="false">
      <c r="A46" s="22"/>
      <c r="B46" s="22"/>
      <c r="C46" s="22"/>
      <c r="D46" s="22"/>
      <c r="E46" s="22"/>
      <c r="F46" s="22"/>
      <c r="G46" s="24"/>
      <c r="H46" s="24"/>
      <c r="I46" s="22"/>
      <c r="J46" s="22"/>
      <c r="K46" s="22"/>
      <c r="L46" s="34"/>
    </row>
    <row r="47" customFormat="false" ht="15" hidden="false" customHeight="false" outlineLevel="0" collapsed="false">
      <c r="A47" s="22"/>
      <c r="B47" s="22"/>
      <c r="C47" s="22"/>
      <c r="D47" s="22"/>
      <c r="E47" s="22"/>
      <c r="F47" s="22"/>
      <c r="G47" s="24"/>
      <c r="H47" s="24"/>
      <c r="I47" s="22"/>
      <c r="J47" s="22"/>
      <c r="K47" s="22"/>
      <c r="L47" s="34"/>
    </row>
    <row r="48" customFormat="false" ht="15" hidden="false" customHeight="false" outlineLevel="0" collapsed="false">
      <c r="A48" s="22"/>
      <c r="B48" s="22"/>
      <c r="C48" s="22"/>
      <c r="D48" s="22"/>
      <c r="E48" s="22"/>
      <c r="F48" s="22"/>
      <c r="G48" s="24"/>
      <c r="H48" s="24"/>
      <c r="I48" s="22"/>
      <c r="J48" s="22"/>
      <c r="K48" s="22"/>
      <c r="L48" s="34"/>
    </row>
    <row r="49" customFormat="false" ht="15" hidden="false" customHeight="false" outlineLevel="0" collapsed="false">
      <c r="A49" s="22"/>
      <c r="B49" s="22"/>
      <c r="C49" s="22"/>
      <c r="D49" s="22"/>
      <c r="E49" s="22"/>
      <c r="F49" s="22"/>
      <c r="G49" s="24"/>
      <c r="H49" s="24"/>
      <c r="I49" s="22"/>
      <c r="J49" s="22"/>
      <c r="K49" s="22"/>
      <c r="L49" s="34"/>
    </row>
    <row r="50" customFormat="false" ht="15" hidden="false" customHeight="false" outlineLevel="0" collapsed="false">
      <c r="A50" s="22"/>
      <c r="B50" s="22"/>
      <c r="C50" s="22"/>
      <c r="D50" s="22"/>
      <c r="E50" s="22"/>
      <c r="F50" s="22"/>
      <c r="G50" s="24"/>
      <c r="H50" s="24"/>
      <c r="I50" s="22"/>
      <c r="J50" s="22"/>
      <c r="K50" s="22"/>
      <c r="L50" s="34"/>
    </row>
    <row r="51" customFormat="false" ht="15" hidden="false" customHeight="false" outlineLevel="0" collapsed="false">
      <c r="A51" s="22"/>
      <c r="B51" s="22"/>
      <c r="C51" s="22"/>
      <c r="D51" s="22"/>
      <c r="E51" s="22"/>
      <c r="F51" s="22"/>
      <c r="G51" s="24"/>
      <c r="H51" s="24"/>
      <c r="I51" s="22"/>
      <c r="J51" s="22"/>
      <c r="K51" s="22"/>
      <c r="L51" s="34"/>
    </row>
    <row r="52" customFormat="false" ht="15" hidden="false" customHeight="false" outlineLevel="0" collapsed="false">
      <c r="A52" s="22"/>
      <c r="B52" s="22"/>
      <c r="C52" s="22"/>
      <c r="D52" s="22"/>
      <c r="E52" s="22"/>
      <c r="F52" s="22"/>
      <c r="G52" s="24"/>
      <c r="H52" s="24"/>
      <c r="I52" s="22"/>
      <c r="J52" s="22"/>
      <c r="K52" s="22"/>
      <c r="L52" s="34"/>
    </row>
    <row r="53" customFormat="false" ht="15" hidden="false" customHeight="false" outlineLevel="0" collapsed="false">
      <c r="A53" s="22"/>
      <c r="B53" s="22"/>
      <c r="C53" s="22"/>
      <c r="D53" s="22"/>
      <c r="E53" s="22"/>
      <c r="F53" s="22"/>
      <c r="G53" s="24"/>
      <c r="H53" s="24"/>
      <c r="I53" s="22"/>
      <c r="J53" s="22"/>
      <c r="K53" s="22"/>
      <c r="L53" s="34"/>
    </row>
    <row r="54" customFormat="false" ht="15" hidden="false" customHeight="false" outlineLevel="0" collapsed="false">
      <c r="A54" s="22"/>
      <c r="B54" s="22"/>
      <c r="C54" s="22"/>
      <c r="D54" s="22"/>
      <c r="E54" s="22"/>
      <c r="F54" s="22"/>
      <c r="G54" s="24"/>
      <c r="H54" s="24"/>
      <c r="I54" s="22"/>
      <c r="J54" s="22"/>
      <c r="K54" s="22"/>
      <c r="L54" s="34"/>
    </row>
    <row r="55" customFormat="false" ht="15" hidden="false" customHeight="false" outlineLevel="0" collapsed="false">
      <c r="A55" s="22"/>
      <c r="B55" s="22"/>
      <c r="C55" s="22"/>
      <c r="D55" s="22"/>
      <c r="E55" s="22"/>
      <c r="F55" s="22"/>
      <c r="G55" s="24"/>
      <c r="H55" s="24"/>
      <c r="I55" s="22"/>
      <c r="J55" s="22"/>
      <c r="K55" s="22"/>
      <c r="L55" s="34"/>
    </row>
    <row r="56" customFormat="false" ht="15" hidden="false" customHeight="false" outlineLevel="0" collapsed="false">
      <c r="A56" s="22"/>
      <c r="B56" s="22"/>
      <c r="C56" s="22"/>
      <c r="D56" s="22"/>
      <c r="E56" s="22"/>
      <c r="F56" s="22"/>
      <c r="G56" s="24"/>
      <c r="H56" s="24"/>
      <c r="I56" s="22"/>
      <c r="J56" s="22"/>
      <c r="K56" s="22"/>
      <c r="L56" s="34"/>
    </row>
    <row r="57" customFormat="false" ht="15" hidden="false" customHeight="false" outlineLevel="0" collapsed="false">
      <c r="A57" s="22"/>
      <c r="B57" s="22"/>
      <c r="C57" s="22"/>
      <c r="D57" s="22"/>
      <c r="E57" s="22"/>
      <c r="F57" s="22"/>
      <c r="G57" s="24"/>
      <c r="H57" s="24"/>
      <c r="I57" s="22"/>
      <c r="J57" s="22"/>
      <c r="K57" s="22"/>
      <c r="L57" s="34"/>
    </row>
    <row r="58" customFormat="false" ht="15" hidden="false" customHeight="false" outlineLevel="0" collapsed="false">
      <c r="A58" s="22"/>
      <c r="B58" s="22"/>
      <c r="C58" s="22"/>
      <c r="D58" s="22"/>
      <c r="E58" s="22"/>
      <c r="F58" s="22"/>
      <c r="G58" s="24"/>
      <c r="H58" s="24"/>
      <c r="I58" s="22"/>
      <c r="J58" s="22"/>
      <c r="K58" s="22"/>
      <c r="L58" s="34"/>
    </row>
    <row r="59" customFormat="false" ht="15" hidden="false" customHeight="false" outlineLevel="0" collapsed="false">
      <c r="A59" s="22"/>
      <c r="B59" s="22"/>
      <c r="C59" s="22"/>
      <c r="D59" s="22"/>
      <c r="E59" s="22"/>
      <c r="F59" s="22"/>
      <c r="G59" s="24"/>
      <c r="H59" s="24"/>
      <c r="I59" s="22"/>
      <c r="J59" s="22"/>
      <c r="K59" s="22"/>
      <c r="L59" s="34"/>
    </row>
    <row r="60" customFormat="false" ht="15" hidden="false" customHeight="false" outlineLevel="0" collapsed="false">
      <c r="A60" s="22"/>
      <c r="B60" s="22"/>
      <c r="C60" s="22"/>
      <c r="D60" s="22"/>
      <c r="E60" s="22"/>
      <c r="F60" s="22"/>
      <c r="G60" s="24"/>
      <c r="H60" s="24"/>
      <c r="I60" s="22"/>
      <c r="J60" s="22"/>
      <c r="K60" s="22"/>
      <c r="L60" s="34"/>
    </row>
    <row r="61" customFormat="false" ht="15" hidden="false" customHeight="false" outlineLevel="0" collapsed="false">
      <c r="A61" s="22"/>
      <c r="B61" s="22"/>
      <c r="C61" s="22"/>
      <c r="D61" s="22"/>
      <c r="E61" s="22"/>
      <c r="F61" s="22"/>
      <c r="G61" s="24"/>
      <c r="H61" s="24"/>
      <c r="I61" s="22"/>
      <c r="J61" s="22"/>
      <c r="K61" s="22"/>
      <c r="L61" s="34"/>
    </row>
    <row r="62" customFormat="false" ht="15" hidden="false" customHeight="false" outlineLevel="0" collapsed="false">
      <c r="A62" s="22"/>
      <c r="B62" s="22"/>
      <c r="C62" s="22"/>
      <c r="D62" s="22"/>
      <c r="E62" s="22"/>
      <c r="F62" s="22"/>
      <c r="G62" s="24"/>
      <c r="H62" s="24"/>
      <c r="I62" s="22"/>
      <c r="J62" s="22"/>
      <c r="K62" s="22"/>
      <c r="L62" s="34"/>
    </row>
    <row r="63" customFormat="false" ht="15" hidden="false" customHeight="false" outlineLevel="0" collapsed="false">
      <c r="A63" s="22"/>
      <c r="B63" s="22"/>
      <c r="C63" s="22"/>
      <c r="D63" s="22"/>
      <c r="E63" s="22"/>
      <c r="F63" s="22"/>
      <c r="G63" s="24"/>
      <c r="H63" s="24"/>
      <c r="I63" s="22"/>
      <c r="J63" s="22"/>
      <c r="K63" s="22"/>
      <c r="L63" s="34"/>
    </row>
    <row r="64" customFormat="false" ht="15" hidden="false" customHeight="false" outlineLevel="0" collapsed="false">
      <c r="A64" s="22"/>
      <c r="B64" s="22"/>
      <c r="C64" s="22"/>
      <c r="D64" s="22"/>
      <c r="E64" s="22"/>
      <c r="F64" s="22"/>
      <c r="G64" s="24"/>
      <c r="H64" s="24"/>
      <c r="I64" s="22"/>
      <c r="J64" s="22"/>
      <c r="K64" s="22"/>
      <c r="L64" s="34"/>
    </row>
    <row r="65" customFormat="false" ht="15" hidden="false" customHeight="false" outlineLevel="0" collapsed="false">
      <c r="A65" s="22"/>
      <c r="B65" s="22"/>
      <c r="C65" s="22"/>
      <c r="D65" s="22"/>
      <c r="E65" s="22"/>
      <c r="F65" s="22"/>
      <c r="G65" s="24"/>
      <c r="H65" s="24"/>
      <c r="I65" s="22"/>
      <c r="J65" s="22"/>
      <c r="K65" s="22"/>
      <c r="L65" s="34"/>
    </row>
    <row r="66" customFormat="false" ht="15" hidden="false" customHeight="false" outlineLevel="0" collapsed="false">
      <c r="A66" s="22"/>
      <c r="B66" s="22"/>
      <c r="C66" s="22"/>
      <c r="D66" s="22"/>
      <c r="E66" s="22"/>
      <c r="F66" s="22"/>
      <c r="G66" s="24"/>
      <c r="H66" s="24"/>
      <c r="I66" s="22"/>
      <c r="J66" s="22"/>
      <c r="K66" s="22"/>
      <c r="L66" s="34"/>
    </row>
    <row r="67" customFormat="false" ht="15" hidden="false" customHeight="false" outlineLevel="0" collapsed="false">
      <c r="A67" s="22"/>
      <c r="B67" s="22"/>
      <c r="C67" s="22"/>
      <c r="D67" s="22"/>
      <c r="E67" s="22"/>
      <c r="F67" s="22"/>
      <c r="G67" s="24"/>
      <c r="H67" s="24"/>
      <c r="I67" s="22"/>
      <c r="J67" s="22"/>
      <c r="K67" s="22"/>
      <c r="L67" s="34"/>
    </row>
    <row r="68" customFormat="false" ht="15" hidden="false" customHeight="false" outlineLevel="0" collapsed="false">
      <c r="A68" s="22"/>
      <c r="B68" s="22"/>
      <c r="C68" s="22"/>
      <c r="D68" s="22"/>
      <c r="E68" s="22"/>
      <c r="F68" s="22"/>
      <c r="G68" s="24"/>
      <c r="H68" s="24"/>
      <c r="I68" s="22"/>
      <c r="J68" s="22"/>
      <c r="K68" s="22"/>
      <c r="L68" s="34"/>
    </row>
    <row r="69" customFormat="false" ht="15" hidden="false" customHeight="false" outlineLevel="0" collapsed="false">
      <c r="A69" s="22"/>
      <c r="B69" s="22"/>
      <c r="C69" s="22"/>
      <c r="D69" s="22"/>
      <c r="E69" s="22"/>
      <c r="F69" s="22"/>
      <c r="G69" s="24"/>
      <c r="H69" s="24"/>
      <c r="I69" s="22"/>
      <c r="J69" s="22"/>
      <c r="K69" s="22"/>
      <c r="L69" s="34"/>
    </row>
    <row r="70" customFormat="false" ht="15" hidden="false" customHeight="false" outlineLevel="0" collapsed="false">
      <c r="A70" s="22"/>
      <c r="B70" s="22"/>
      <c r="C70" s="22"/>
      <c r="D70" s="22"/>
      <c r="E70" s="22"/>
      <c r="F70" s="22"/>
      <c r="G70" s="24"/>
      <c r="H70" s="24"/>
      <c r="I70" s="22"/>
      <c r="J70" s="22"/>
      <c r="K70" s="22"/>
      <c r="L70" s="34"/>
    </row>
    <row r="71" customFormat="false" ht="15" hidden="false" customHeight="false" outlineLevel="0" collapsed="false">
      <c r="A71" s="22"/>
      <c r="B71" s="22"/>
      <c r="C71" s="22"/>
      <c r="D71" s="22"/>
      <c r="E71" s="22"/>
      <c r="F71" s="22"/>
      <c r="G71" s="24"/>
      <c r="H71" s="24"/>
      <c r="I71" s="22"/>
      <c r="J71" s="22"/>
      <c r="K71" s="22"/>
      <c r="L71" s="34"/>
    </row>
    <row r="72" customFormat="false" ht="15" hidden="false" customHeight="false" outlineLevel="0" collapsed="false">
      <c r="A72" s="22"/>
      <c r="B72" s="22"/>
      <c r="C72" s="22"/>
      <c r="D72" s="22"/>
      <c r="E72" s="22"/>
      <c r="F72" s="22"/>
      <c r="G72" s="24"/>
      <c r="H72" s="24"/>
      <c r="I72" s="22"/>
      <c r="J72" s="22"/>
      <c r="K72" s="22"/>
      <c r="L72" s="34"/>
    </row>
    <row r="73" customFormat="false" ht="15" hidden="false" customHeight="false" outlineLevel="0" collapsed="false">
      <c r="A73" s="22"/>
      <c r="B73" s="22"/>
      <c r="C73" s="22"/>
      <c r="D73" s="22"/>
      <c r="E73" s="22"/>
      <c r="F73" s="22"/>
      <c r="G73" s="24"/>
      <c r="H73" s="24"/>
      <c r="I73" s="22"/>
      <c r="J73" s="22"/>
      <c r="K73" s="22"/>
      <c r="L73" s="34"/>
    </row>
    <row r="74" customFormat="false" ht="15" hidden="false" customHeight="false" outlineLevel="0" collapsed="false">
      <c r="A74" s="22"/>
      <c r="B74" s="22"/>
      <c r="C74" s="22"/>
      <c r="D74" s="22"/>
      <c r="E74" s="22"/>
      <c r="F74" s="22"/>
      <c r="G74" s="24"/>
      <c r="H74" s="24"/>
      <c r="I74" s="22"/>
      <c r="J74" s="22"/>
      <c r="K74" s="22"/>
      <c r="L74" s="34"/>
    </row>
    <row r="75" customFormat="false" ht="15" hidden="false" customHeight="false" outlineLevel="0" collapsed="false">
      <c r="A75" s="22"/>
      <c r="B75" s="22"/>
      <c r="C75" s="22"/>
      <c r="D75" s="22"/>
      <c r="E75" s="22"/>
      <c r="F75" s="22"/>
      <c r="G75" s="24"/>
      <c r="H75" s="24"/>
      <c r="I75" s="22"/>
      <c r="J75" s="22"/>
      <c r="K75" s="22"/>
      <c r="L75" s="34"/>
    </row>
    <row r="76" customFormat="false" ht="15" hidden="false" customHeight="false" outlineLevel="0" collapsed="false">
      <c r="A76" s="22"/>
      <c r="B76" s="22"/>
      <c r="C76" s="22"/>
      <c r="D76" s="22"/>
      <c r="E76" s="22"/>
      <c r="F76" s="22"/>
      <c r="G76" s="24"/>
      <c r="H76" s="24"/>
      <c r="I76" s="22"/>
      <c r="J76" s="22"/>
      <c r="K76" s="22"/>
      <c r="L76" s="34"/>
    </row>
    <row r="77" customFormat="false" ht="15" hidden="false" customHeight="false" outlineLevel="0" collapsed="false">
      <c r="A77" s="22"/>
      <c r="B77" s="22"/>
      <c r="C77" s="22"/>
      <c r="D77" s="22"/>
      <c r="E77" s="22"/>
      <c r="F77" s="22"/>
      <c r="G77" s="24"/>
      <c r="H77" s="24"/>
      <c r="I77" s="22"/>
      <c r="J77" s="22"/>
      <c r="K77" s="22"/>
      <c r="L77" s="34"/>
    </row>
    <row r="78" customFormat="false" ht="15" hidden="false" customHeight="false" outlineLevel="0" collapsed="false">
      <c r="A78" s="22"/>
      <c r="B78" s="22"/>
      <c r="C78" s="22"/>
      <c r="D78" s="22"/>
      <c r="E78" s="22"/>
      <c r="F78" s="22"/>
      <c r="G78" s="24"/>
      <c r="H78" s="24"/>
      <c r="I78" s="22"/>
      <c r="J78" s="22"/>
      <c r="K78" s="22"/>
      <c r="L78" s="34"/>
    </row>
    <row r="79" customFormat="false" ht="15" hidden="false" customHeight="false" outlineLevel="0" collapsed="false">
      <c r="A79" s="22"/>
      <c r="B79" s="22"/>
      <c r="C79" s="22"/>
      <c r="D79" s="22"/>
      <c r="E79" s="22"/>
      <c r="F79" s="22"/>
      <c r="G79" s="24"/>
      <c r="H79" s="24"/>
      <c r="I79" s="22"/>
      <c r="J79" s="22"/>
      <c r="K79" s="22"/>
      <c r="L79" s="34"/>
    </row>
    <row r="80" customFormat="false" ht="15" hidden="false" customHeight="false" outlineLevel="0" collapsed="false">
      <c r="A80" s="22"/>
      <c r="B80" s="22"/>
      <c r="C80" s="22"/>
      <c r="D80" s="22"/>
      <c r="E80" s="22"/>
      <c r="F80" s="22"/>
      <c r="G80" s="24"/>
      <c r="H80" s="24"/>
      <c r="I80" s="22"/>
      <c r="J80" s="22"/>
      <c r="K80" s="22"/>
      <c r="L80" s="34"/>
    </row>
    <row r="81" customFormat="false" ht="15" hidden="false" customHeight="false" outlineLevel="0" collapsed="false">
      <c r="A81" s="22"/>
      <c r="B81" s="22"/>
      <c r="C81" s="22"/>
      <c r="D81" s="22"/>
      <c r="E81" s="22"/>
      <c r="F81" s="22"/>
      <c r="G81" s="24"/>
      <c r="H81" s="24"/>
      <c r="I81" s="22"/>
      <c r="J81" s="22"/>
      <c r="K81" s="22"/>
      <c r="L81" s="34"/>
    </row>
    <row r="82" customFormat="false" ht="15" hidden="false" customHeight="false" outlineLevel="0" collapsed="false">
      <c r="A82" s="22"/>
      <c r="B82" s="22"/>
      <c r="C82" s="22"/>
      <c r="D82" s="22"/>
      <c r="E82" s="22"/>
      <c r="F82" s="22"/>
      <c r="G82" s="24"/>
      <c r="H82" s="24"/>
      <c r="I82" s="22"/>
      <c r="J82" s="22"/>
      <c r="K82" s="22"/>
      <c r="L82" s="34"/>
    </row>
    <row r="83" customFormat="false" ht="15" hidden="false" customHeight="false" outlineLevel="0" collapsed="false">
      <c r="A83" s="22"/>
      <c r="B83" s="22"/>
      <c r="C83" s="22"/>
      <c r="D83" s="22"/>
      <c r="E83" s="22"/>
      <c r="F83" s="22"/>
      <c r="G83" s="24"/>
      <c r="H83" s="24"/>
      <c r="I83" s="22"/>
      <c r="J83" s="22"/>
      <c r="K83" s="22"/>
      <c r="L83" s="34"/>
    </row>
    <row r="84" customFormat="false" ht="15" hidden="false" customHeight="false" outlineLevel="0" collapsed="false">
      <c r="A84" s="22"/>
      <c r="B84" s="22"/>
      <c r="C84" s="22"/>
      <c r="D84" s="22"/>
      <c r="E84" s="22"/>
      <c r="F84" s="22"/>
      <c r="G84" s="24"/>
      <c r="H84" s="24"/>
      <c r="I84" s="22"/>
      <c r="J84" s="22"/>
      <c r="K84" s="22"/>
      <c r="L84" s="34"/>
    </row>
    <row r="85" customFormat="false" ht="15" hidden="false" customHeight="false" outlineLevel="0" collapsed="false">
      <c r="A85" s="22"/>
      <c r="B85" s="22"/>
      <c r="C85" s="22"/>
      <c r="D85" s="22"/>
      <c r="E85" s="22"/>
      <c r="F85" s="22"/>
      <c r="G85" s="24"/>
      <c r="H85" s="24"/>
      <c r="I85" s="22"/>
      <c r="J85" s="22"/>
      <c r="K85" s="22"/>
      <c r="L85" s="34"/>
    </row>
    <row r="86" customFormat="false" ht="15" hidden="false" customHeight="false" outlineLevel="0" collapsed="false">
      <c r="A86" s="22"/>
      <c r="B86" s="22"/>
      <c r="C86" s="22"/>
      <c r="D86" s="22"/>
      <c r="E86" s="22"/>
      <c r="F86" s="22"/>
      <c r="G86" s="24"/>
      <c r="H86" s="24"/>
      <c r="I86" s="22"/>
      <c r="J86" s="22"/>
      <c r="K86" s="22"/>
      <c r="L86" s="34"/>
    </row>
    <row r="87" customFormat="false" ht="15" hidden="false" customHeight="false" outlineLevel="0" collapsed="false">
      <c r="A87" s="22"/>
      <c r="B87" s="22"/>
      <c r="C87" s="22"/>
      <c r="D87" s="22"/>
      <c r="E87" s="22"/>
      <c r="F87" s="22"/>
      <c r="G87" s="24"/>
      <c r="H87" s="24"/>
      <c r="I87" s="22"/>
      <c r="J87" s="22"/>
      <c r="K87" s="22"/>
      <c r="L87" s="34"/>
    </row>
    <row r="88" customFormat="false" ht="15" hidden="false" customHeight="false" outlineLevel="0" collapsed="false">
      <c r="A88" s="22"/>
      <c r="B88" s="22"/>
      <c r="C88" s="22"/>
      <c r="D88" s="22"/>
      <c r="E88" s="22"/>
      <c r="F88" s="22"/>
      <c r="G88" s="24"/>
      <c r="H88" s="24"/>
      <c r="I88" s="22"/>
      <c r="J88" s="22"/>
      <c r="K88" s="22"/>
      <c r="L88" s="34"/>
    </row>
    <row r="89" customFormat="false" ht="15" hidden="false" customHeight="false" outlineLevel="0" collapsed="false">
      <c r="A89" s="22"/>
      <c r="B89" s="22"/>
      <c r="C89" s="22"/>
      <c r="D89" s="22"/>
      <c r="E89" s="22"/>
      <c r="F89" s="22"/>
      <c r="G89" s="24"/>
      <c r="H89" s="24"/>
      <c r="I89" s="22"/>
      <c r="J89" s="22"/>
      <c r="K89" s="22"/>
      <c r="L89" s="34"/>
    </row>
    <row r="90" customFormat="false" ht="15" hidden="false" customHeight="false" outlineLevel="0" collapsed="false">
      <c r="A90" s="22"/>
      <c r="B90" s="22"/>
      <c r="C90" s="22"/>
      <c r="D90" s="22"/>
      <c r="E90" s="22"/>
      <c r="F90" s="22"/>
      <c r="G90" s="24"/>
      <c r="H90" s="24"/>
      <c r="I90" s="22"/>
      <c r="J90" s="22"/>
      <c r="K90" s="22"/>
      <c r="L90" s="34"/>
    </row>
    <row r="91" customFormat="false" ht="15" hidden="false" customHeight="false" outlineLevel="0" collapsed="false">
      <c r="A91" s="22"/>
      <c r="B91" s="22"/>
      <c r="C91" s="22"/>
      <c r="D91" s="22"/>
      <c r="E91" s="22"/>
      <c r="F91" s="22"/>
      <c r="G91" s="24"/>
      <c r="H91" s="24"/>
      <c r="I91" s="22"/>
      <c r="J91" s="22"/>
      <c r="K91" s="22"/>
      <c r="L91" s="34"/>
    </row>
    <row r="92" customFormat="false" ht="15" hidden="false" customHeight="false" outlineLevel="0" collapsed="false">
      <c r="A92" s="22"/>
      <c r="B92" s="22"/>
      <c r="C92" s="22"/>
      <c r="D92" s="22"/>
      <c r="E92" s="22"/>
      <c r="F92" s="22"/>
      <c r="G92" s="24"/>
      <c r="H92" s="24"/>
      <c r="I92" s="22"/>
      <c r="J92" s="22"/>
      <c r="K92" s="22"/>
      <c r="L92" s="34"/>
    </row>
    <row r="93" customFormat="false" ht="15" hidden="false" customHeight="false" outlineLevel="0" collapsed="false">
      <c r="A93" s="22"/>
      <c r="B93" s="22"/>
      <c r="C93" s="22"/>
      <c r="D93" s="22"/>
      <c r="E93" s="22"/>
      <c r="F93" s="22"/>
      <c r="G93" s="24"/>
      <c r="H93" s="24"/>
      <c r="I93" s="22"/>
      <c r="J93" s="22"/>
      <c r="K93" s="22"/>
      <c r="L93" s="34"/>
    </row>
    <row r="94" customFormat="false" ht="15" hidden="false" customHeight="false" outlineLevel="0" collapsed="false">
      <c r="A94" s="22"/>
      <c r="B94" s="22"/>
      <c r="C94" s="22"/>
      <c r="D94" s="22"/>
      <c r="E94" s="22"/>
      <c r="F94" s="22"/>
      <c r="G94" s="24"/>
      <c r="H94" s="24"/>
      <c r="I94" s="22"/>
      <c r="J94" s="22"/>
      <c r="K94" s="22"/>
      <c r="L94" s="34"/>
    </row>
    <row r="95" customFormat="false" ht="15" hidden="false" customHeight="false" outlineLevel="0" collapsed="false">
      <c r="A95" s="22"/>
      <c r="B95" s="22"/>
      <c r="C95" s="22"/>
      <c r="D95" s="22"/>
      <c r="E95" s="22"/>
      <c r="F95" s="22"/>
      <c r="G95" s="24"/>
      <c r="H95" s="24"/>
      <c r="I95" s="22"/>
      <c r="J95" s="22"/>
      <c r="K95" s="22"/>
      <c r="L95" s="34"/>
    </row>
    <row r="96" customFormat="false" ht="15" hidden="false" customHeight="false" outlineLevel="0" collapsed="false">
      <c r="A96" s="22"/>
      <c r="B96" s="22"/>
      <c r="C96" s="22"/>
      <c r="D96" s="22"/>
      <c r="E96" s="22"/>
      <c r="F96" s="22"/>
      <c r="G96" s="24"/>
      <c r="H96" s="24"/>
      <c r="I96" s="22"/>
      <c r="J96" s="22"/>
      <c r="K96" s="22"/>
      <c r="L96" s="34"/>
    </row>
    <row r="97" customFormat="false" ht="15" hidden="false" customHeight="false" outlineLevel="0" collapsed="false">
      <c r="A97" s="22"/>
      <c r="B97" s="22"/>
      <c r="C97" s="22"/>
      <c r="D97" s="22"/>
      <c r="E97" s="22"/>
      <c r="F97" s="22"/>
      <c r="G97" s="24"/>
      <c r="H97" s="24"/>
      <c r="I97" s="22"/>
      <c r="J97" s="22"/>
      <c r="K97" s="22"/>
      <c r="L97" s="34"/>
    </row>
    <row r="98" customFormat="false" ht="15" hidden="false" customHeight="false" outlineLevel="0" collapsed="false">
      <c r="A98" s="22"/>
      <c r="B98" s="22"/>
      <c r="C98" s="22"/>
      <c r="D98" s="22"/>
      <c r="E98" s="22"/>
      <c r="F98" s="22"/>
      <c r="G98" s="24"/>
      <c r="H98" s="24"/>
      <c r="I98" s="22"/>
      <c r="J98" s="22"/>
      <c r="K98" s="22"/>
      <c r="L98" s="34"/>
    </row>
    <row r="99" customFormat="false" ht="15" hidden="false" customHeight="false" outlineLevel="0" collapsed="false">
      <c r="A99" s="22"/>
      <c r="B99" s="22"/>
      <c r="C99" s="22"/>
      <c r="D99" s="22"/>
      <c r="E99" s="22"/>
      <c r="F99" s="22"/>
      <c r="G99" s="24"/>
      <c r="H99" s="24"/>
      <c r="I99" s="22"/>
      <c r="J99" s="22"/>
      <c r="K99" s="22"/>
      <c r="L99" s="34"/>
    </row>
    <row r="100" customFormat="false" ht="15" hidden="false" customHeight="false" outlineLevel="0" collapsed="false">
      <c r="A100" s="22"/>
      <c r="B100" s="22"/>
      <c r="C100" s="22"/>
      <c r="D100" s="22"/>
      <c r="E100" s="22"/>
      <c r="F100" s="22"/>
      <c r="G100" s="24"/>
      <c r="H100" s="24"/>
      <c r="I100" s="22"/>
      <c r="J100" s="22"/>
      <c r="K100" s="22"/>
      <c r="L100" s="34"/>
    </row>
    <row r="101" customFormat="false" ht="15" hidden="false" customHeight="false" outlineLevel="0" collapsed="false">
      <c r="A101" s="22"/>
      <c r="B101" s="22"/>
      <c r="C101" s="22"/>
      <c r="D101" s="22"/>
      <c r="E101" s="22"/>
      <c r="F101" s="22"/>
      <c r="G101" s="24"/>
      <c r="H101" s="24"/>
      <c r="I101" s="22"/>
      <c r="J101" s="22"/>
      <c r="K101" s="22"/>
      <c r="L101" s="34"/>
    </row>
    <row r="102" customFormat="false" ht="15" hidden="false" customHeight="false" outlineLevel="0" collapsed="false">
      <c r="A102" s="22"/>
      <c r="B102" s="22"/>
      <c r="C102" s="22"/>
      <c r="D102" s="22"/>
      <c r="E102" s="22"/>
      <c r="F102" s="22"/>
      <c r="G102" s="24"/>
      <c r="H102" s="24"/>
      <c r="I102" s="22"/>
      <c r="J102" s="22"/>
      <c r="K102" s="22"/>
      <c r="L102" s="34"/>
    </row>
    <row r="103" customFormat="false" ht="15" hidden="false" customHeight="false" outlineLevel="0" collapsed="false">
      <c r="A103" s="22"/>
      <c r="B103" s="22"/>
      <c r="C103" s="22"/>
      <c r="D103" s="22"/>
      <c r="E103" s="22"/>
      <c r="F103" s="22"/>
      <c r="G103" s="24"/>
      <c r="H103" s="24"/>
      <c r="I103" s="22"/>
      <c r="J103" s="22"/>
      <c r="K103" s="22"/>
      <c r="L103" s="34"/>
    </row>
    <row r="104" customFormat="false" ht="15" hidden="false" customHeight="false" outlineLevel="0" collapsed="false">
      <c r="A104" s="22"/>
      <c r="B104" s="22"/>
      <c r="C104" s="22"/>
      <c r="D104" s="22"/>
      <c r="E104" s="22"/>
      <c r="F104" s="22"/>
      <c r="G104" s="24"/>
      <c r="H104" s="24"/>
      <c r="I104" s="22"/>
      <c r="J104" s="22"/>
      <c r="K104" s="22"/>
      <c r="L104" s="34"/>
    </row>
    <row r="105" customFormat="false" ht="15" hidden="false" customHeight="false" outlineLevel="0" collapsed="false">
      <c r="A105" s="22"/>
      <c r="B105" s="22"/>
      <c r="C105" s="22"/>
      <c r="D105" s="22"/>
      <c r="E105" s="22"/>
      <c r="F105" s="22"/>
      <c r="G105" s="24"/>
      <c r="H105" s="24"/>
      <c r="I105" s="22"/>
      <c r="J105" s="22"/>
      <c r="K105" s="22"/>
      <c r="L105" s="34"/>
    </row>
    <row r="106" customFormat="false" ht="15" hidden="false" customHeight="false" outlineLevel="0" collapsed="false">
      <c r="A106" s="22"/>
      <c r="B106" s="22"/>
      <c r="C106" s="22"/>
      <c r="D106" s="22"/>
      <c r="E106" s="22"/>
      <c r="F106" s="22"/>
      <c r="G106" s="24"/>
      <c r="H106" s="24"/>
      <c r="I106" s="22"/>
      <c r="J106" s="22"/>
      <c r="K106" s="22"/>
      <c r="L106" s="34"/>
    </row>
    <row r="107" customFormat="false" ht="15" hidden="false" customHeight="false" outlineLevel="0" collapsed="false">
      <c r="A107" s="22"/>
      <c r="B107" s="22"/>
      <c r="C107" s="22"/>
      <c r="D107" s="22"/>
      <c r="E107" s="22"/>
      <c r="F107" s="22"/>
      <c r="G107" s="24"/>
      <c r="H107" s="24"/>
      <c r="I107" s="22"/>
      <c r="J107" s="22"/>
      <c r="K107" s="22"/>
      <c r="L107" s="34"/>
    </row>
    <row r="108" customFormat="false" ht="15" hidden="false" customHeight="false" outlineLevel="0" collapsed="false">
      <c r="A108" s="22"/>
      <c r="B108" s="22"/>
      <c r="C108" s="22"/>
      <c r="D108" s="22"/>
      <c r="E108" s="22"/>
      <c r="F108" s="22"/>
      <c r="G108" s="24"/>
      <c r="H108" s="24"/>
      <c r="I108" s="22"/>
      <c r="J108" s="22"/>
      <c r="K108" s="22"/>
      <c r="L108" s="34"/>
    </row>
    <row r="109" customFormat="false" ht="15" hidden="false" customHeight="false" outlineLevel="0" collapsed="false">
      <c r="A109" s="22"/>
      <c r="B109" s="22"/>
      <c r="C109" s="22"/>
      <c r="D109" s="22"/>
      <c r="E109" s="22"/>
      <c r="F109" s="22"/>
      <c r="G109" s="24"/>
      <c r="H109" s="24"/>
      <c r="I109" s="22"/>
      <c r="J109" s="22"/>
      <c r="K109" s="22"/>
      <c r="L109" s="34"/>
    </row>
    <row r="110" customFormat="false" ht="15" hidden="false" customHeight="false" outlineLevel="0" collapsed="false">
      <c r="A110" s="22"/>
      <c r="B110" s="22"/>
      <c r="C110" s="22"/>
      <c r="D110" s="22"/>
      <c r="E110" s="22"/>
      <c r="F110" s="22"/>
      <c r="G110" s="24"/>
      <c r="H110" s="24"/>
      <c r="I110" s="22"/>
      <c r="J110" s="22"/>
      <c r="K110" s="22"/>
      <c r="L110" s="34"/>
    </row>
    <row r="111" customFormat="false" ht="15" hidden="false" customHeight="false" outlineLevel="0" collapsed="false">
      <c r="A111" s="22"/>
      <c r="B111" s="22"/>
      <c r="C111" s="22"/>
      <c r="D111" s="22"/>
      <c r="E111" s="22"/>
      <c r="F111" s="22"/>
      <c r="G111" s="24"/>
      <c r="H111" s="24"/>
      <c r="I111" s="22"/>
      <c r="J111" s="22"/>
      <c r="K111" s="22"/>
      <c r="L111" s="34"/>
    </row>
    <row r="112" customFormat="false" ht="15" hidden="false" customHeight="false" outlineLevel="0" collapsed="false">
      <c r="A112" s="22"/>
      <c r="B112" s="22"/>
      <c r="C112" s="22"/>
      <c r="D112" s="22"/>
      <c r="E112" s="22"/>
      <c r="F112" s="22"/>
      <c r="G112" s="24"/>
      <c r="H112" s="24"/>
      <c r="I112" s="22"/>
      <c r="J112" s="22"/>
      <c r="K112" s="22"/>
      <c r="L112" s="34"/>
    </row>
    <row r="113" customFormat="false" ht="15" hidden="false" customHeight="false" outlineLevel="0" collapsed="false">
      <c r="A113" s="22"/>
      <c r="B113" s="22"/>
      <c r="C113" s="22"/>
      <c r="D113" s="22"/>
      <c r="E113" s="22"/>
      <c r="F113" s="22"/>
      <c r="G113" s="24"/>
      <c r="H113" s="24"/>
      <c r="I113" s="22"/>
      <c r="J113" s="22"/>
      <c r="K113" s="22"/>
      <c r="L113" s="34"/>
    </row>
    <row r="114" customFormat="false" ht="15" hidden="false" customHeight="false" outlineLevel="0" collapsed="false">
      <c r="A114" s="22"/>
      <c r="B114" s="22"/>
      <c r="C114" s="22"/>
      <c r="D114" s="22"/>
      <c r="E114" s="22"/>
      <c r="F114" s="22"/>
      <c r="G114" s="24"/>
      <c r="H114" s="24"/>
      <c r="I114" s="22"/>
      <c r="J114" s="22"/>
      <c r="K114" s="22"/>
      <c r="L114" s="34"/>
    </row>
    <row r="115" customFormat="false" ht="15" hidden="false" customHeight="false" outlineLevel="0" collapsed="false">
      <c r="A115" s="22"/>
      <c r="B115" s="22"/>
      <c r="C115" s="22"/>
      <c r="D115" s="22"/>
      <c r="E115" s="22"/>
      <c r="F115" s="22"/>
      <c r="G115" s="24"/>
      <c r="H115" s="24"/>
      <c r="I115" s="22"/>
      <c r="J115" s="22"/>
      <c r="K115" s="22"/>
      <c r="L115" s="34"/>
    </row>
    <row r="116" customFormat="false" ht="15" hidden="false" customHeight="false" outlineLevel="0" collapsed="false">
      <c r="A116" s="22"/>
      <c r="B116" s="22"/>
      <c r="C116" s="22"/>
      <c r="D116" s="22"/>
      <c r="E116" s="22"/>
      <c r="F116" s="22"/>
      <c r="G116" s="24"/>
      <c r="H116" s="24"/>
      <c r="I116" s="22"/>
      <c r="J116" s="22"/>
      <c r="K116" s="22"/>
      <c r="L116" s="34"/>
    </row>
    <row r="117" customFormat="false" ht="15" hidden="false" customHeight="false" outlineLevel="0" collapsed="false">
      <c r="A117" s="22"/>
      <c r="B117" s="22"/>
      <c r="C117" s="22"/>
      <c r="D117" s="22"/>
      <c r="E117" s="22"/>
      <c r="F117" s="22"/>
      <c r="G117" s="24"/>
      <c r="H117" s="24"/>
      <c r="I117" s="22"/>
      <c r="J117" s="22"/>
      <c r="K117" s="22"/>
      <c r="L117" s="34"/>
    </row>
    <row r="118" customFormat="false" ht="15" hidden="false" customHeight="false" outlineLevel="0" collapsed="false">
      <c r="A118" s="22"/>
      <c r="B118" s="22"/>
      <c r="C118" s="22"/>
      <c r="D118" s="22"/>
      <c r="E118" s="22"/>
      <c r="F118" s="22"/>
      <c r="G118" s="24"/>
      <c r="H118" s="24"/>
      <c r="I118" s="22"/>
      <c r="J118" s="22"/>
      <c r="K118" s="22"/>
      <c r="L118" s="34"/>
    </row>
    <row r="119" customFormat="false" ht="15" hidden="false" customHeight="false" outlineLevel="0" collapsed="false">
      <c r="A119" s="22"/>
      <c r="B119" s="22"/>
      <c r="C119" s="22"/>
      <c r="D119" s="22"/>
      <c r="E119" s="22"/>
      <c r="F119" s="22"/>
      <c r="G119" s="24"/>
      <c r="H119" s="24"/>
      <c r="I119" s="22"/>
      <c r="J119" s="22"/>
      <c r="K119" s="22"/>
      <c r="L119" s="34"/>
    </row>
    <row r="120" customFormat="false" ht="15" hidden="false" customHeight="false" outlineLevel="0" collapsed="false">
      <c r="A120" s="22"/>
      <c r="B120" s="22"/>
      <c r="C120" s="22"/>
      <c r="D120" s="22"/>
      <c r="E120" s="22"/>
      <c r="F120" s="22"/>
      <c r="G120" s="24"/>
      <c r="H120" s="24"/>
      <c r="I120" s="22"/>
      <c r="J120" s="22"/>
      <c r="K120" s="22"/>
      <c r="L120" s="34"/>
    </row>
    <row r="121" customFormat="false" ht="15" hidden="false" customHeight="false" outlineLevel="0" collapsed="false">
      <c r="A121" s="22"/>
      <c r="B121" s="22"/>
      <c r="C121" s="22"/>
      <c r="D121" s="22"/>
      <c r="E121" s="22"/>
      <c r="F121" s="22"/>
      <c r="G121" s="24"/>
      <c r="H121" s="24"/>
      <c r="I121" s="22"/>
      <c r="J121" s="22"/>
      <c r="K121" s="22"/>
      <c r="L121" s="34"/>
    </row>
    <row r="122" customFormat="false" ht="15" hidden="false" customHeight="false" outlineLevel="0" collapsed="false">
      <c r="A122" s="22"/>
      <c r="B122" s="22"/>
      <c r="C122" s="22"/>
      <c r="D122" s="22"/>
      <c r="E122" s="22"/>
      <c r="F122" s="22"/>
      <c r="G122" s="24"/>
      <c r="H122" s="24"/>
      <c r="I122" s="22"/>
      <c r="J122" s="22"/>
      <c r="K122" s="22"/>
      <c r="L122" s="34"/>
    </row>
    <row r="123" customFormat="false" ht="15" hidden="false" customHeight="false" outlineLevel="0" collapsed="false">
      <c r="A123" s="22"/>
      <c r="B123" s="22"/>
      <c r="C123" s="22"/>
      <c r="D123" s="22"/>
      <c r="E123" s="22"/>
      <c r="F123" s="22"/>
      <c r="G123" s="24"/>
      <c r="H123" s="24"/>
      <c r="I123" s="22"/>
      <c r="J123" s="22"/>
      <c r="K123" s="22"/>
      <c r="L123" s="34"/>
    </row>
    <row r="124" customFormat="false" ht="15" hidden="false" customHeight="false" outlineLevel="0" collapsed="false">
      <c r="A124" s="22"/>
      <c r="B124" s="22"/>
      <c r="C124" s="22"/>
      <c r="D124" s="22"/>
      <c r="E124" s="22"/>
      <c r="F124" s="22"/>
      <c r="G124" s="24"/>
      <c r="H124" s="24"/>
      <c r="I124" s="22"/>
      <c r="J124" s="22"/>
      <c r="K124" s="22"/>
      <c r="L124" s="34"/>
    </row>
    <row r="125" customFormat="false" ht="15" hidden="false" customHeight="false" outlineLevel="0" collapsed="false">
      <c r="A125" s="22"/>
      <c r="B125" s="22"/>
      <c r="C125" s="22"/>
      <c r="D125" s="22"/>
      <c r="E125" s="22"/>
      <c r="F125" s="22"/>
      <c r="G125" s="24"/>
      <c r="H125" s="24"/>
      <c r="I125" s="22"/>
      <c r="J125" s="22"/>
      <c r="K125" s="22"/>
      <c r="L125" s="34"/>
    </row>
    <row r="126" customFormat="false" ht="15" hidden="false" customHeight="false" outlineLevel="0" collapsed="false">
      <c r="A126" s="22"/>
      <c r="B126" s="22"/>
      <c r="C126" s="22"/>
      <c r="D126" s="22"/>
      <c r="E126" s="22"/>
      <c r="F126" s="22"/>
      <c r="G126" s="24"/>
      <c r="H126" s="24"/>
      <c r="I126" s="22"/>
      <c r="J126" s="22"/>
      <c r="K126" s="22"/>
      <c r="L126" s="34"/>
    </row>
    <row r="127" customFormat="false" ht="15" hidden="false" customHeight="false" outlineLevel="0" collapsed="false">
      <c r="A127" s="22"/>
      <c r="B127" s="22"/>
      <c r="C127" s="22"/>
      <c r="D127" s="22"/>
      <c r="E127" s="22"/>
      <c r="F127" s="22"/>
      <c r="G127" s="24"/>
      <c r="H127" s="24"/>
      <c r="I127" s="22"/>
      <c r="J127" s="22"/>
      <c r="K127" s="22"/>
      <c r="L127" s="34"/>
    </row>
    <row r="128" customFormat="false" ht="15" hidden="false" customHeight="false" outlineLevel="0" collapsed="false">
      <c r="A128" s="22"/>
      <c r="B128" s="22"/>
      <c r="C128" s="22"/>
      <c r="D128" s="22"/>
      <c r="E128" s="22"/>
      <c r="F128" s="22"/>
      <c r="G128" s="24"/>
      <c r="H128" s="24"/>
      <c r="I128" s="22"/>
      <c r="J128" s="22"/>
      <c r="K128" s="22"/>
      <c r="L128" s="34"/>
    </row>
    <row r="129" customFormat="false" ht="15" hidden="false" customHeight="false" outlineLevel="0" collapsed="false">
      <c r="A129" s="22"/>
      <c r="B129" s="22"/>
      <c r="C129" s="22"/>
      <c r="D129" s="22"/>
      <c r="E129" s="22"/>
      <c r="F129" s="22"/>
      <c r="G129" s="24"/>
      <c r="H129" s="24"/>
      <c r="I129" s="22"/>
      <c r="J129" s="22"/>
      <c r="K129" s="22"/>
      <c r="L129" s="34"/>
    </row>
    <row r="130" customFormat="false" ht="15" hidden="false" customHeight="false" outlineLevel="0" collapsed="false">
      <c r="A130" s="22"/>
      <c r="B130" s="22"/>
      <c r="C130" s="22"/>
      <c r="D130" s="22"/>
      <c r="E130" s="22"/>
      <c r="F130" s="22"/>
      <c r="G130" s="24"/>
      <c r="H130" s="24"/>
      <c r="I130" s="22"/>
      <c r="J130" s="22"/>
      <c r="K130" s="22"/>
      <c r="L130" s="34"/>
    </row>
    <row r="131" customFormat="false" ht="15" hidden="false" customHeight="false" outlineLevel="0" collapsed="false">
      <c r="A131" s="22"/>
      <c r="B131" s="22"/>
      <c r="C131" s="22"/>
      <c r="D131" s="22"/>
      <c r="E131" s="22"/>
      <c r="F131" s="22"/>
      <c r="G131" s="24"/>
      <c r="H131" s="24"/>
      <c r="I131" s="22"/>
      <c r="J131" s="22"/>
      <c r="K131" s="22"/>
      <c r="L131" s="34"/>
    </row>
    <row r="132" customFormat="false" ht="15" hidden="false" customHeight="false" outlineLevel="0" collapsed="false">
      <c r="A132" s="22"/>
      <c r="B132" s="22"/>
      <c r="C132" s="22"/>
      <c r="D132" s="22"/>
      <c r="E132" s="22"/>
      <c r="F132" s="22"/>
      <c r="G132" s="24"/>
      <c r="H132" s="24"/>
      <c r="I132" s="22"/>
      <c r="J132" s="22"/>
      <c r="K132" s="22"/>
      <c r="L132" s="34"/>
    </row>
    <row r="133" customFormat="false" ht="15" hidden="false" customHeight="false" outlineLevel="0" collapsed="false">
      <c r="A133" s="22"/>
      <c r="B133" s="22"/>
      <c r="C133" s="22"/>
      <c r="D133" s="22"/>
      <c r="E133" s="22"/>
      <c r="F133" s="22"/>
      <c r="G133" s="24"/>
      <c r="H133" s="24"/>
      <c r="I133" s="22"/>
      <c r="J133" s="22"/>
      <c r="K133" s="22"/>
      <c r="L133" s="34"/>
    </row>
    <row r="134" customFormat="false" ht="15" hidden="false" customHeight="false" outlineLevel="0" collapsed="false">
      <c r="A134" s="22"/>
      <c r="B134" s="22"/>
      <c r="C134" s="22"/>
      <c r="D134" s="22"/>
      <c r="E134" s="22"/>
      <c r="F134" s="22"/>
      <c r="G134" s="24"/>
      <c r="H134" s="24"/>
      <c r="I134" s="22"/>
      <c r="J134" s="22"/>
      <c r="K134" s="22"/>
      <c r="L134" s="34"/>
    </row>
    <row r="135" customFormat="false" ht="15" hidden="false" customHeight="false" outlineLevel="0" collapsed="false">
      <c r="A135" s="22"/>
      <c r="B135" s="22"/>
      <c r="C135" s="22"/>
      <c r="D135" s="22"/>
      <c r="E135" s="22"/>
      <c r="F135" s="22"/>
      <c r="G135" s="24"/>
      <c r="H135" s="24"/>
      <c r="I135" s="22"/>
      <c r="J135" s="22"/>
      <c r="K135" s="22"/>
      <c r="L135" s="34"/>
    </row>
    <row r="136" customFormat="false" ht="15" hidden="false" customHeight="false" outlineLevel="0" collapsed="false">
      <c r="A136" s="22"/>
      <c r="B136" s="22"/>
      <c r="C136" s="22"/>
      <c r="D136" s="22"/>
      <c r="E136" s="22"/>
      <c r="F136" s="22"/>
      <c r="G136" s="24"/>
      <c r="H136" s="24"/>
      <c r="I136" s="22"/>
      <c r="J136" s="22"/>
      <c r="K136" s="22"/>
      <c r="L136" s="34"/>
    </row>
    <row r="137" customFormat="false" ht="15" hidden="false" customHeight="false" outlineLevel="0" collapsed="false">
      <c r="A137" s="22"/>
      <c r="B137" s="22"/>
      <c r="C137" s="22"/>
      <c r="D137" s="22"/>
      <c r="E137" s="22"/>
      <c r="F137" s="22"/>
      <c r="G137" s="24"/>
      <c r="H137" s="24"/>
      <c r="I137" s="22"/>
      <c r="J137" s="22"/>
      <c r="K137" s="22"/>
      <c r="L137" s="34"/>
    </row>
    <row r="138" customFormat="false" ht="15" hidden="false" customHeight="false" outlineLevel="0" collapsed="false">
      <c r="A138" s="22"/>
      <c r="B138" s="22"/>
      <c r="C138" s="22"/>
      <c r="D138" s="22"/>
      <c r="E138" s="22"/>
      <c r="F138" s="22"/>
      <c r="G138" s="24"/>
      <c r="H138" s="24"/>
      <c r="I138" s="22"/>
      <c r="J138" s="22"/>
      <c r="K138" s="22"/>
      <c r="L138" s="34"/>
    </row>
    <row r="139" customFormat="false" ht="15" hidden="false" customHeight="false" outlineLevel="0" collapsed="false">
      <c r="A139" s="22"/>
      <c r="B139" s="22"/>
      <c r="C139" s="22"/>
      <c r="D139" s="22"/>
      <c r="E139" s="22"/>
      <c r="F139" s="22"/>
      <c r="G139" s="24"/>
      <c r="H139" s="24"/>
      <c r="I139" s="22"/>
      <c r="J139" s="22"/>
      <c r="K139" s="22"/>
      <c r="L139" s="34"/>
    </row>
    <row r="140" customFormat="false" ht="15" hidden="false" customHeight="false" outlineLevel="0" collapsed="false">
      <c r="A140" s="22"/>
      <c r="B140" s="22"/>
      <c r="C140" s="22"/>
      <c r="D140" s="22"/>
      <c r="E140" s="22"/>
      <c r="F140" s="22"/>
      <c r="G140" s="24"/>
      <c r="H140" s="24"/>
      <c r="I140" s="22"/>
      <c r="J140" s="22"/>
      <c r="K140" s="22"/>
      <c r="L140" s="34"/>
    </row>
    <row r="141" customFormat="false" ht="15" hidden="false" customHeight="false" outlineLevel="0" collapsed="false">
      <c r="A141" s="22"/>
      <c r="B141" s="22"/>
      <c r="C141" s="22"/>
      <c r="D141" s="22"/>
      <c r="E141" s="22"/>
      <c r="F141" s="22"/>
      <c r="G141" s="24"/>
      <c r="H141" s="24"/>
      <c r="I141" s="22"/>
      <c r="J141" s="22"/>
      <c r="K141" s="22"/>
      <c r="L141" s="34"/>
    </row>
    <row r="142" customFormat="false" ht="15" hidden="false" customHeight="false" outlineLevel="0" collapsed="false">
      <c r="A142" s="22"/>
      <c r="B142" s="22"/>
      <c r="C142" s="22"/>
      <c r="D142" s="22"/>
      <c r="E142" s="22"/>
      <c r="F142" s="22"/>
      <c r="G142" s="24"/>
      <c r="H142" s="24"/>
      <c r="I142" s="22"/>
      <c r="J142" s="22"/>
      <c r="K142" s="22"/>
      <c r="L142" s="34"/>
    </row>
    <row r="143" customFormat="false" ht="15" hidden="false" customHeight="false" outlineLevel="0" collapsed="false">
      <c r="A143" s="22"/>
      <c r="B143" s="22"/>
      <c r="C143" s="22"/>
      <c r="D143" s="22"/>
      <c r="E143" s="22"/>
      <c r="F143" s="22"/>
      <c r="G143" s="24"/>
      <c r="H143" s="24"/>
      <c r="I143" s="22"/>
      <c r="J143" s="22"/>
      <c r="K143" s="22"/>
      <c r="L143" s="34"/>
    </row>
    <row r="144" customFormat="false" ht="15" hidden="false" customHeight="false" outlineLevel="0" collapsed="false">
      <c r="A144" s="22"/>
      <c r="B144" s="22"/>
      <c r="C144" s="22"/>
      <c r="D144" s="22"/>
      <c r="E144" s="22"/>
      <c r="F144" s="22"/>
      <c r="G144" s="24"/>
      <c r="H144" s="24"/>
      <c r="I144" s="22"/>
      <c r="J144" s="22"/>
      <c r="K144" s="22"/>
      <c r="L144" s="34"/>
    </row>
    <row r="145" customFormat="false" ht="15" hidden="false" customHeight="false" outlineLevel="0" collapsed="false">
      <c r="A145" s="22"/>
      <c r="B145" s="22"/>
      <c r="C145" s="22"/>
      <c r="D145" s="22"/>
      <c r="E145" s="22"/>
      <c r="F145" s="22"/>
      <c r="G145" s="24"/>
      <c r="H145" s="24"/>
      <c r="I145" s="22"/>
      <c r="J145" s="22"/>
      <c r="K145" s="22"/>
      <c r="L145" s="34"/>
    </row>
    <row r="146" customFormat="false" ht="15" hidden="false" customHeight="false" outlineLevel="0" collapsed="false">
      <c r="A146" s="22"/>
      <c r="B146" s="22"/>
      <c r="C146" s="22"/>
      <c r="D146" s="22"/>
      <c r="E146" s="22"/>
      <c r="F146" s="22"/>
      <c r="G146" s="24"/>
      <c r="H146" s="24"/>
      <c r="I146" s="22"/>
      <c r="J146" s="22"/>
      <c r="K146" s="22"/>
      <c r="L146" s="34"/>
    </row>
    <row r="147" customFormat="false" ht="15" hidden="false" customHeight="false" outlineLevel="0" collapsed="false">
      <c r="A147" s="22"/>
      <c r="B147" s="22"/>
      <c r="C147" s="22"/>
      <c r="D147" s="22"/>
      <c r="E147" s="22"/>
      <c r="F147" s="22"/>
      <c r="G147" s="24"/>
      <c r="H147" s="24"/>
      <c r="I147" s="22"/>
      <c r="J147" s="22"/>
      <c r="K147" s="22"/>
      <c r="L147" s="34"/>
    </row>
    <row r="148" customFormat="false" ht="15" hidden="false" customHeight="false" outlineLevel="0" collapsed="false">
      <c r="A148" s="22"/>
      <c r="B148" s="22"/>
      <c r="C148" s="22"/>
      <c r="D148" s="22"/>
      <c r="E148" s="22"/>
      <c r="F148" s="22"/>
      <c r="G148" s="24"/>
      <c r="H148" s="24"/>
      <c r="I148" s="22"/>
      <c r="J148" s="22"/>
      <c r="K148" s="22"/>
      <c r="L148" s="34"/>
    </row>
    <row r="149" customFormat="false" ht="15" hidden="false" customHeight="false" outlineLevel="0" collapsed="false">
      <c r="A149" s="22"/>
      <c r="B149" s="22"/>
      <c r="C149" s="22"/>
      <c r="D149" s="22"/>
      <c r="E149" s="22"/>
      <c r="F149" s="22"/>
      <c r="G149" s="24"/>
      <c r="H149" s="24"/>
      <c r="I149" s="22"/>
      <c r="J149" s="22"/>
      <c r="K149" s="22"/>
      <c r="L149" s="34"/>
    </row>
    <row r="150" customFormat="false" ht="15" hidden="false" customHeight="false" outlineLevel="0" collapsed="false">
      <c r="A150" s="22"/>
      <c r="B150" s="22"/>
      <c r="C150" s="22"/>
      <c r="D150" s="22"/>
      <c r="E150" s="22"/>
      <c r="F150" s="22"/>
      <c r="G150" s="24"/>
      <c r="H150" s="24"/>
      <c r="I150" s="22"/>
      <c r="J150" s="22"/>
      <c r="K150" s="22"/>
      <c r="L150" s="34"/>
    </row>
    <row r="151" customFormat="false" ht="15" hidden="false" customHeight="false" outlineLevel="0" collapsed="false">
      <c r="A151" s="22"/>
      <c r="B151" s="22"/>
      <c r="C151" s="22"/>
      <c r="D151" s="22"/>
      <c r="E151" s="22"/>
      <c r="F151" s="22"/>
      <c r="G151" s="24"/>
      <c r="H151" s="24"/>
      <c r="I151" s="22"/>
      <c r="J151" s="22"/>
      <c r="K151" s="22"/>
      <c r="L151" s="34"/>
    </row>
    <row r="152" customFormat="false" ht="15" hidden="false" customHeight="false" outlineLevel="0" collapsed="false">
      <c r="A152" s="22"/>
      <c r="B152" s="22"/>
      <c r="C152" s="22"/>
      <c r="D152" s="22"/>
      <c r="E152" s="22"/>
      <c r="F152" s="22"/>
      <c r="G152" s="24"/>
      <c r="H152" s="24"/>
      <c r="I152" s="22"/>
      <c r="J152" s="22"/>
      <c r="K152" s="22"/>
      <c r="L152" s="34"/>
    </row>
    <row r="153" customFormat="false" ht="15" hidden="false" customHeight="false" outlineLevel="0" collapsed="false">
      <c r="A153" s="22"/>
      <c r="B153" s="22"/>
      <c r="C153" s="22"/>
      <c r="D153" s="22"/>
      <c r="E153" s="22"/>
      <c r="F153" s="22"/>
      <c r="G153" s="24"/>
      <c r="H153" s="24"/>
      <c r="I153" s="22"/>
      <c r="J153" s="22"/>
      <c r="K153" s="22"/>
      <c r="L153" s="34"/>
    </row>
    <row r="154" customFormat="false" ht="15" hidden="false" customHeight="false" outlineLevel="0" collapsed="false">
      <c r="A154" s="22"/>
      <c r="B154" s="22"/>
      <c r="C154" s="22"/>
      <c r="D154" s="22"/>
      <c r="E154" s="22"/>
      <c r="F154" s="22"/>
      <c r="G154" s="24"/>
      <c r="H154" s="24"/>
      <c r="I154" s="22"/>
      <c r="J154" s="22"/>
      <c r="K154" s="22"/>
      <c r="L154" s="34"/>
    </row>
    <row r="155" customFormat="false" ht="15" hidden="false" customHeight="false" outlineLevel="0" collapsed="false">
      <c r="A155" s="22"/>
      <c r="B155" s="22"/>
      <c r="C155" s="22"/>
      <c r="D155" s="22"/>
      <c r="E155" s="22"/>
      <c r="F155" s="22"/>
      <c r="G155" s="24"/>
      <c r="H155" s="24"/>
      <c r="I155" s="22"/>
      <c r="J155" s="22"/>
      <c r="K155" s="22"/>
      <c r="L155" s="34"/>
    </row>
    <row r="156" customFormat="false" ht="15" hidden="false" customHeight="false" outlineLevel="0" collapsed="false">
      <c r="A156" s="22"/>
      <c r="B156" s="22"/>
      <c r="C156" s="22"/>
      <c r="D156" s="22"/>
      <c r="E156" s="22"/>
      <c r="F156" s="22"/>
      <c r="G156" s="24"/>
      <c r="H156" s="24"/>
      <c r="I156" s="22"/>
      <c r="J156" s="22"/>
      <c r="K156" s="22"/>
      <c r="L156" s="34"/>
    </row>
    <row r="157" customFormat="false" ht="15" hidden="false" customHeight="false" outlineLevel="0" collapsed="false">
      <c r="A157" s="22"/>
      <c r="B157" s="22"/>
      <c r="C157" s="22"/>
      <c r="D157" s="22"/>
      <c r="E157" s="22"/>
      <c r="F157" s="22"/>
      <c r="G157" s="24"/>
      <c r="H157" s="24"/>
      <c r="I157" s="22"/>
      <c r="J157" s="22"/>
      <c r="K157" s="22"/>
      <c r="L157" s="34"/>
    </row>
    <row r="158" customFormat="false" ht="15" hidden="false" customHeight="false" outlineLevel="0" collapsed="false">
      <c r="A158" s="22"/>
      <c r="B158" s="22"/>
      <c r="C158" s="22"/>
      <c r="D158" s="22"/>
      <c r="E158" s="22"/>
      <c r="F158" s="22"/>
      <c r="G158" s="24"/>
      <c r="H158" s="24"/>
      <c r="I158" s="22"/>
      <c r="J158" s="22"/>
      <c r="K158" s="22"/>
      <c r="L158" s="34"/>
    </row>
    <row r="159" customFormat="false" ht="15" hidden="false" customHeight="false" outlineLevel="0" collapsed="false">
      <c r="A159" s="22"/>
      <c r="B159" s="22"/>
      <c r="C159" s="22"/>
      <c r="D159" s="22"/>
      <c r="E159" s="22"/>
      <c r="F159" s="22"/>
      <c r="G159" s="24"/>
      <c r="H159" s="24"/>
      <c r="I159" s="22"/>
      <c r="J159" s="22"/>
      <c r="K159" s="22"/>
      <c r="L159" s="34"/>
    </row>
    <row r="160" customFormat="false" ht="15" hidden="false" customHeight="false" outlineLevel="0" collapsed="false">
      <c r="A160" s="22"/>
      <c r="B160" s="22"/>
      <c r="C160" s="22"/>
      <c r="D160" s="22"/>
      <c r="E160" s="22"/>
      <c r="F160" s="22"/>
      <c r="G160" s="24"/>
      <c r="H160" s="24"/>
      <c r="I160" s="22"/>
      <c r="J160" s="22"/>
      <c r="K160" s="22"/>
      <c r="L160" s="34"/>
    </row>
    <row r="161" customFormat="false" ht="15" hidden="false" customHeight="false" outlineLevel="0" collapsed="false">
      <c r="A161" s="22"/>
      <c r="B161" s="22"/>
      <c r="C161" s="22"/>
      <c r="D161" s="22"/>
      <c r="E161" s="22"/>
      <c r="F161" s="22"/>
      <c r="G161" s="24"/>
      <c r="H161" s="24"/>
      <c r="I161" s="22"/>
      <c r="J161" s="22"/>
      <c r="K161" s="22"/>
      <c r="L161" s="34"/>
    </row>
    <row r="162" customFormat="false" ht="15" hidden="false" customHeight="false" outlineLevel="0" collapsed="false">
      <c r="A162" s="22"/>
      <c r="B162" s="22"/>
      <c r="C162" s="22"/>
      <c r="D162" s="22"/>
      <c r="E162" s="22"/>
      <c r="F162" s="22"/>
      <c r="G162" s="24"/>
      <c r="H162" s="24"/>
      <c r="I162" s="22"/>
      <c r="J162" s="22"/>
      <c r="K162" s="22"/>
      <c r="L162" s="34"/>
    </row>
    <row r="163" customFormat="false" ht="15" hidden="false" customHeight="false" outlineLevel="0" collapsed="false">
      <c r="A163" s="22"/>
      <c r="B163" s="22"/>
      <c r="C163" s="22"/>
      <c r="D163" s="22"/>
      <c r="E163" s="22"/>
      <c r="F163" s="22"/>
      <c r="G163" s="24"/>
      <c r="H163" s="24"/>
      <c r="I163" s="22"/>
      <c r="J163" s="22"/>
      <c r="K163" s="22"/>
      <c r="L163" s="34"/>
    </row>
    <row r="164" customFormat="false" ht="15" hidden="false" customHeight="false" outlineLevel="0" collapsed="false">
      <c r="A164" s="22"/>
      <c r="B164" s="22"/>
      <c r="C164" s="22"/>
      <c r="D164" s="22"/>
      <c r="E164" s="22"/>
      <c r="F164" s="22"/>
      <c r="G164" s="24"/>
      <c r="H164" s="24"/>
      <c r="I164" s="22"/>
      <c r="J164" s="22"/>
      <c r="K164" s="22"/>
      <c r="L164" s="34"/>
    </row>
    <row r="165" customFormat="false" ht="15" hidden="false" customHeight="false" outlineLevel="0" collapsed="false">
      <c r="A165" s="22"/>
      <c r="B165" s="22"/>
      <c r="C165" s="22"/>
      <c r="D165" s="22"/>
      <c r="E165" s="22"/>
      <c r="F165" s="22"/>
      <c r="G165" s="24"/>
      <c r="H165" s="24"/>
      <c r="I165" s="22"/>
      <c r="J165" s="22"/>
      <c r="K165" s="22"/>
      <c r="L165" s="34"/>
    </row>
    <row r="166" customFormat="false" ht="15" hidden="false" customHeight="false" outlineLevel="0" collapsed="false">
      <c r="A166" s="22"/>
      <c r="B166" s="22"/>
      <c r="C166" s="22"/>
      <c r="D166" s="22"/>
      <c r="E166" s="22"/>
      <c r="F166" s="22"/>
      <c r="G166" s="24"/>
      <c r="H166" s="24"/>
      <c r="I166" s="22"/>
      <c r="J166" s="22"/>
      <c r="K166" s="22"/>
      <c r="L166" s="34"/>
    </row>
    <row r="167" customFormat="false" ht="15" hidden="false" customHeight="false" outlineLevel="0" collapsed="false">
      <c r="A167" s="22"/>
      <c r="B167" s="22"/>
      <c r="C167" s="22"/>
      <c r="D167" s="22"/>
      <c r="E167" s="22"/>
      <c r="F167" s="22"/>
      <c r="G167" s="24"/>
      <c r="H167" s="24"/>
      <c r="I167" s="22"/>
      <c r="J167" s="22"/>
      <c r="K167" s="22"/>
      <c r="L167" s="34"/>
    </row>
    <row r="168" customFormat="false" ht="15" hidden="false" customHeight="false" outlineLevel="0" collapsed="false">
      <c r="A168" s="22"/>
      <c r="B168" s="22"/>
      <c r="C168" s="22"/>
      <c r="D168" s="22"/>
      <c r="E168" s="22"/>
      <c r="F168" s="22"/>
      <c r="G168" s="24"/>
      <c r="H168" s="24"/>
      <c r="I168" s="22"/>
      <c r="J168" s="22"/>
      <c r="K168" s="22"/>
      <c r="L168" s="34"/>
    </row>
    <row r="169" customFormat="false" ht="15" hidden="false" customHeight="false" outlineLevel="0" collapsed="false">
      <c r="A169" s="22"/>
      <c r="B169" s="22"/>
      <c r="C169" s="22"/>
      <c r="D169" s="22"/>
      <c r="E169" s="22"/>
      <c r="F169" s="22"/>
      <c r="G169" s="24"/>
      <c r="H169" s="24"/>
      <c r="I169" s="22"/>
      <c r="J169" s="22"/>
      <c r="K169" s="22"/>
      <c r="L169" s="34"/>
    </row>
    <row r="170" customFormat="false" ht="15" hidden="false" customHeight="false" outlineLevel="0" collapsed="false">
      <c r="A170" s="22"/>
      <c r="B170" s="22"/>
      <c r="C170" s="22"/>
      <c r="D170" s="22"/>
      <c r="E170" s="22"/>
      <c r="F170" s="22"/>
      <c r="G170" s="24"/>
      <c r="H170" s="24"/>
      <c r="I170" s="22"/>
      <c r="J170" s="22"/>
      <c r="K170" s="22"/>
      <c r="L170" s="34"/>
    </row>
    <row r="171" customFormat="false" ht="15" hidden="false" customHeight="false" outlineLevel="0" collapsed="false">
      <c r="A171" s="22"/>
      <c r="B171" s="22"/>
      <c r="C171" s="22"/>
      <c r="D171" s="22"/>
      <c r="E171" s="22"/>
      <c r="F171" s="22"/>
      <c r="G171" s="24"/>
      <c r="H171" s="24"/>
      <c r="I171" s="22"/>
      <c r="J171" s="22"/>
      <c r="K171" s="22"/>
      <c r="L171" s="34"/>
    </row>
    <row r="172" customFormat="false" ht="15" hidden="false" customHeight="false" outlineLevel="0" collapsed="false">
      <c r="A172" s="22"/>
      <c r="B172" s="22"/>
      <c r="C172" s="22"/>
      <c r="D172" s="22"/>
      <c r="E172" s="22"/>
      <c r="F172" s="22"/>
      <c r="G172" s="24"/>
      <c r="H172" s="24"/>
      <c r="I172" s="22"/>
      <c r="J172" s="22"/>
      <c r="K172" s="22"/>
      <c r="L172" s="34"/>
    </row>
    <row r="173" customFormat="false" ht="15" hidden="false" customHeight="false" outlineLevel="0" collapsed="false">
      <c r="A173" s="22"/>
      <c r="B173" s="22"/>
      <c r="C173" s="22"/>
      <c r="D173" s="22"/>
      <c r="E173" s="22"/>
      <c r="F173" s="22"/>
      <c r="G173" s="24"/>
      <c r="H173" s="24"/>
      <c r="I173" s="22"/>
      <c r="J173" s="22"/>
      <c r="K173" s="22"/>
      <c r="L173" s="34"/>
    </row>
    <row r="174" customFormat="false" ht="15" hidden="false" customHeight="false" outlineLevel="0" collapsed="false">
      <c r="A174" s="22"/>
      <c r="B174" s="22"/>
      <c r="C174" s="22"/>
      <c r="D174" s="22"/>
      <c r="E174" s="22"/>
      <c r="F174" s="22"/>
      <c r="G174" s="24"/>
      <c r="H174" s="24"/>
      <c r="I174" s="22"/>
      <c r="J174" s="22"/>
      <c r="K174" s="22"/>
      <c r="L174" s="34"/>
    </row>
    <row r="175" customFormat="false" ht="15" hidden="false" customHeight="false" outlineLevel="0" collapsed="false">
      <c r="A175" s="22"/>
      <c r="B175" s="22"/>
      <c r="C175" s="22"/>
      <c r="D175" s="22"/>
      <c r="E175" s="22"/>
      <c r="F175" s="22"/>
      <c r="G175" s="24"/>
      <c r="H175" s="24"/>
      <c r="I175" s="22"/>
      <c r="J175" s="22"/>
      <c r="K175" s="22"/>
      <c r="L175" s="34"/>
    </row>
    <row r="176" customFormat="false" ht="15" hidden="false" customHeight="false" outlineLevel="0" collapsed="false">
      <c r="A176" s="22"/>
      <c r="B176" s="22"/>
      <c r="C176" s="22"/>
      <c r="D176" s="22"/>
      <c r="E176" s="22"/>
      <c r="F176" s="22"/>
      <c r="G176" s="24"/>
      <c r="H176" s="24"/>
      <c r="I176" s="22"/>
      <c r="J176" s="22"/>
      <c r="K176" s="22"/>
      <c r="L176" s="34"/>
    </row>
    <row r="177" customFormat="false" ht="15" hidden="false" customHeight="false" outlineLevel="0" collapsed="false">
      <c r="A177" s="22"/>
      <c r="B177" s="22"/>
      <c r="C177" s="22"/>
      <c r="D177" s="22"/>
      <c r="E177" s="22"/>
      <c r="F177" s="22"/>
      <c r="G177" s="24"/>
      <c r="H177" s="24"/>
      <c r="I177" s="22"/>
      <c r="J177" s="22"/>
      <c r="K177" s="22"/>
      <c r="L177" s="34"/>
    </row>
    <row r="178" customFormat="false" ht="15" hidden="false" customHeight="false" outlineLevel="0" collapsed="false">
      <c r="A178" s="22"/>
      <c r="B178" s="22"/>
      <c r="C178" s="22"/>
      <c r="D178" s="22"/>
      <c r="E178" s="22"/>
      <c r="F178" s="22"/>
      <c r="G178" s="24"/>
      <c r="H178" s="24"/>
      <c r="I178" s="22"/>
      <c r="J178" s="22"/>
      <c r="K178" s="22"/>
      <c r="L178" s="34"/>
    </row>
    <row r="179" customFormat="false" ht="15" hidden="false" customHeight="false" outlineLevel="0" collapsed="false">
      <c r="A179" s="22"/>
      <c r="B179" s="22"/>
      <c r="C179" s="22"/>
      <c r="D179" s="22"/>
      <c r="E179" s="22"/>
      <c r="F179" s="22"/>
      <c r="G179" s="24"/>
      <c r="H179" s="24"/>
      <c r="I179" s="22"/>
      <c r="J179" s="22"/>
      <c r="K179" s="22"/>
      <c r="L179" s="34"/>
    </row>
    <row r="180" customFormat="false" ht="15" hidden="false" customHeight="false" outlineLevel="0" collapsed="false">
      <c r="A180" s="22"/>
      <c r="B180" s="22"/>
      <c r="C180" s="22"/>
      <c r="D180" s="22"/>
      <c r="E180" s="22"/>
      <c r="F180" s="22"/>
      <c r="G180" s="24"/>
      <c r="H180" s="24"/>
      <c r="I180" s="22"/>
      <c r="J180" s="22"/>
      <c r="K180" s="22"/>
      <c r="L180" s="34"/>
    </row>
    <row r="181" customFormat="false" ht="15" hidden="false" customHeight="false" outlineLevel="0" collapsed="false">
      <c r="A181" s="22"/>
      <c r="B181" s="22"/>
      <c r="C181" s="22"/>
      <c r="D181" s="22"/>
      <c r="E181" s="22"/>
      <c r="F181" s="22"/>
      <c r="G181" s="24"/>
      <c r="H181" s="24"/>
      <c r="I181" s="22"/>
      <c r="J181" s="22"/>
      <c r="K181" s="22"/>
      <c r="L181" s="34"/>
    </row>
    <row r="182" customFormat="false" ht="15" hidden="false" customHeight="false" outlineLevel="0" collapsed="false">
      <c r="A182" s="22"/>
      <c r="B182" s="22"/>
      <c r="C182" s="22"/>
      <c r="D182" s="22"/>
      <c r="E182" s="22"/>
      <c r="F182" s="22"/>
      <c r="G182" s="24"/>
      <c r="H182" s="24"/>
      <c r="I182" s="22"/>
      <c r="J182" s="22"/>
      <c r="K182" s="22"/>
      <c r="L182" s="34"/>
    </row>
    <row r="183" customFormat="false" ht="15" hidden="false" customHeight="false" outlineLevel="0" collapsed="false">
      <c r="A183" s="22"/>
      <c r="B183" s="22"/>
      <c r="C183" s="22"/>
      <c r="D183" s="22"/>
      <c r="E183" s="22"/>
      <c r="F183" s="22"/>
      <c r="G183" s="24"/>
      <c r="H183" s="24"/>
      <c r="I183" s="22"/>
      <c r="J183" s="22"/>
      <c r="K183" s="22"/>
      <c r="L183" s="34"/>
    </row>
    <row r="184" customFormat="false" ht="15" hidden="false" customHeight="false" outlineLevel="0" collapsed="false">
      <c r="A184" s="22"/>
      <c r="B184" s="22"/>
      <c r="C184" s="22"/>
      <c r="D184" s="22"/>
      <c r="E184" s="22"/>
      <c r="F184" s="22"/>
      <c r="G184" s="24"/>
      <c r="H184" s="24"/>
      <c r="I184" s="22"/>
      <c r="J184" s="22"/>
      <c r="K184" s="22"/>
      <c r="L184" s="34"/>
    </row>
    <row r="185" customFormat="false" ht="15" hidden="false" customHeight="false" outlineLevel="0" collapsed="false">
      <c r="A185" s="22"/>
      <c r="B185" s="22"/>
      <c r="C185" s="22"/>
      <c r="D185" s="22"/>
      <c r="E185" s="22"/>
      <c r="F185" s="22"/>
      <c r="G185" s="24"/>
      <c r="H185" s="24"/>
      <c r="I185" s="22"/>
      <c r="J185" s="22"/>
      <c r="K185" s="22"/>
      <c r="L185" s="34"/>
    </row>
    <row r="186" customFormat="false" ht="15" hidden="false" customHeight="false" outlineLevel="0" collapsed="false">
      <c r="A186" s="22"/>
      <c r="B186" s="22"/>
      <c r="C186" s="22"/>
      <c r="D186" s="22"/>
      <c r="E186" s="22"/>
      <c r="F186" s="22"/>
      <c r="G186" s="24"/>
      <c r="H186" s="24"/>
      <c r="I186" s="22"/>
      <c r="J186" s="22"/>
      <c r="K186" s="22"/>
      <c r="L186" s="34"/>
    </row>
    <row r="187" customFormat="false" ht="15" hidden="false" customHeight="false" outlineLevel="0" collapsed="false">
      <c r="A187" s="22"/>
      <c r="B187" s="22"/>
      <c r="C187" s="22"/>
      <c r="D187" s="22"/>
      <c r="E187" s="22"/>
      <c r="F187" s="22"/>
      <c r="G187" s="24"/>
      <c r="H187" s="24"/>
      <c r="I187" s="22"/>
      <c r="J187" s="22"/>
      <c r="K187" s="22"/>
      <c r="L187" s="34"/>
    </row>
    <row r="188" customFormat="false" ht="15" hidden="false" customHeight="false" outlineLevel="0" collapsed="false">
      <c r="A188" s="22"/>
      <c r="B188" s="22"/>
      <c r="C188" s="22"/>
      <c r="D188" s="22"/>
      <c r="E188" s="22"/>
      <c r="F188" s="22"/>
      <c r="G188" s="24"/>
      <c r="H188" s="24"/>
      <c r="I188" s="22"/>
      <c r="J188" s="22"/>
      <c r="K188" s="22"/>
      <c r="L188" s="34"/>
    </row>
    <row r="189" customFormat="false" ht="15" hidden="false" customHeight="false" outlineLevel="0" collapsed="false">
      <c r="A189" s="22"/>
      <c r="B189" s="22"/>
      <c r="C189" s="22"/>
      <c r="D189" s="22"/>
      <c r="E189" s="22"/>
      <c r="F189" s="22"/>
      <c r="G189" s="24"/>
      <c r="H189" s="24"/>
      <c r="I189" s="22"/>
      <c r="J189" s="22"/>
      <c r="K189" s="22"/>
      <c r="L189" s="34"/>
    </row>
    <row r="190" customFormat="false" ht="15" hidden="false" customHeight="false" outlineLevel="0" collapsed="false">
      <c r="A190" s="22"/>
      <c r="B190" s="22"/>
      <c r="C190" s="22"/>
      <c r="D190" s="22"/>
      <c r="E190" s="22"/>
      <c r="F190" s="22"/>
      <c r="G190" s="24"/>
      <c r="H190" s="24"/>
      <c r="I190" s="22"/>
      <c r="J190" s="22"/>
      <c r="K190" s="22"/>
      <c r="L190" s="34"/>
    </row>
    <row r="191" customFormat="false" ht="15" hidden="false" customHeight="false" outlineLevel="0" collapsed="false">
      <c r="A191" s="22"/>
      <c r="B191" s="22"/>
      <c r="C191" s="22"/>
      <c r="D191" s="22"/>
      <c r="E191" s="22"/>
      <c r="F191" s="22"/>
      <c r="G191" s="24"/>
      <c r="H191" s="24"/>
      <c r="I191" s="22"/>
      <c r="J191" s="22"/>
      <c r="K191" s="22"/>
      <c r="L191" s="34"/>
    </row>
    <row r="192" customFormat="false" ht="15" hidden="false" customHeight="false" outlineLevel="0" collapsed="false">
      <c r="A192" s="22"/>
      <c r="B192" s="22"/>
      <c r="C192" s="22"/>
      <c r="D192" s="22"/>
      <c r="E192" s="22"/>
      <c r="F192" s="22"/>
      <c r="G192" s="24"/>
      <c r="H192" s="24"/>
      <c r="I192" s="22"/>
      <c r="J192" s="22"/>
      <c r="K192" s="22"/>
      <c r="L192" s="34"/>
    </row>
    <row r="193" customFormat="false" ht="15" hidden="false" customHeight="false" outlineLevel="0" collapsed="false">
      <c r="A193" s="22"/>
      <c r="B193" s="22"/>
      <c r="C193" s="22"/>
      <c r="D193" s="22"/>
      <c r="E193" s="22"/>
      <c r="F193" s="22"/>
      <c r="G193" s="24"/>
      <c r="H193" s="24"/>
      <c r="I193" s="22"/>
      <c r="J193" s="22"/>
      <c r="K193" s="22"/>
      <c r="L193" s="34"/>
    </row>
    <row r="194" customFormat="false" ht="15" hidden="false" customHeight="false" outlineLevel="0" collapsed="false">
      <c r="A194" s="22"/>
      <c r="B194" s="22"/>
      <c r="C194" s="22"/>
      <c r="D194" s="22"/>
      <c r="E194" s="22"/>
      <c r="F194" s="22"/>
      <c r="G194" s="24"/>
      <c r="H194" s="24"/>
      <c r="I194" s="22"/>
      <c r="J194" s="22"/>
      <c r="K194" s="22"/>
      <c r="L194" s="34"/>
    </row>
    <row r="195" customFormat="false" ht="15" hidden="false" customHeight="false" outlineLevel="0" collapsed="false">
      <c r="A195" s="22"/>
      <c r="B195" s="22"/>
      <c r="C195" s="22"/>
      <c r="D195" s="22"/>
      <c r="E195" s="22"/>
      <c r="F195" s="22"/>
      <c r="G195" s="24"/>
      <c r="H195" s="24"/>
      <c r="I195" s="22"/>
      <c r="J195" s="22"/>
      <c r="K195" s="22"/>
      <c r="L195" s="34"/>
    </row>
    <row r="196" customFormat="false" ht="15" hidden="false" customHeight="false" outlineLevel="0" collapsed="false">
      <c r="A196" s="22"/>
      <c r="B196" s="22"/>
      <c r="C196" s="22"/>
      <c r="D196" s="22"/>
      <c r="E196" s="22"/>
      <c r="F196" s="22"/>
      <c r="G196" s="24"/>
      <c r="H196" s="24"/>
      <c r="I196" s="22"/>
      <c r="J196" s="22"/>
      <c r="K196" s="22"/>
      <c r="L196" s="34"/>
    </row>
    <row r="197" customFormat="false" ht="15" hidden="false" customHeight="false" outlineLevel="0" collapsed="false">
      <c r="A197" s="22"/>
      <c r="B197" s="22"/>
      <c r="C197" s="22"/>
      <c r="D197" s="22"/>
      <c r="E197" s="22"/>
      <c r="F197" s="22"/>
      <c r="G197" s="24"/>
      <c r="H197" s="24"/>
      <c r="I197" s="22"/>
      <c r="J197" s="22"/>
      <c r="K197" s="22"/>
      <c r="L197" s="34"/>
    </row>
    <row r="198" customFormat="false" ht="15" hidden="false" customHeight="false" outlineLevel="0" collapsed="false">
      <c r="A198" s="22"/>
      <c r="B198" s="22"/>
      <c r="C198" s="22"/>
      <c r="D198" s="22"/>
      <c r="E198" s="22"/>
      <c r="F198" s="22"/>
      <c r="G198" s="24"/>
      <c r="H198" s="24"/>
      <c r="I198" s="22"/>
      <c r="J198" s="22"/>
      <c r="K198" s="22"/>
      <c r="L198" s="34"/>
    </row>
    <row r="199" customFormat="false" ht="15" hidden="false" customHeight="false" outlineLevel="0" collapsed="false">
      <c r="A199" s="22"/>
      <c r="B199" s="22"/>
      <c r="C199" s="22"/>
      <c r="D199" s="22"/>
      <c r="E199" s="22"/>
      <c r="F199" s="22"/>
      <c r="G199" s="24"/>
      <c r="H199" s="24"/>
      <c r="I199" s="22"/>
      <c r="J199" s="22"/>
      <c r="K199" s="22"/>
      <c r="L199" s="34"/>
    </row>
    <row r="200" customFormat="false" ht="15" hidden="false" customHeight="false" outlineLevel="0" collapsed="false">
      <c r="A200" s="22"/>
      <c r="B200" s="22"/>
      <c r="C200" s="22"/>
      <c r="D200" s="22"/>
      <c r="E200" s="22"/>
      <c r="F200" s="22"/>
      <c r="G200" s="24"/>
      <c r="H200" s="24"/>
      <c r="I200" s="22"/>
      <c r="J200" s="22"/>
      <c r="K200" s="22"/>
      <c r="L200" s="22"/>
    </row>
  </sheetData>
  <dataValidations count="2">
    <dataValidation allowBlank="true" errorStyle="stop" operator="between" showDropDown="false" showErrorMessage="true" showInputMessage="false" sqref="I5:I200" type="list">
      <formula1>"active,former"</formula1>
      <formula2>0</formula2>
    </dataValidation>
    <dataValidation allowBlank="true" errorStyle="stop" operator="between" showDropDown="false" showErrorMessage="true" showInputMessage="false" sqref="K5:K20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true"/>
  </sheetPr>
  <dimension ref="A1:R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8"/>
    <col collapsed="false" customWidth="true" hidden="false" outlineLevel="0" max="3" min="3" style="0" width="3"/>
    <col collapsed="false" customWidth="true" hidden="false" outlineLevel="0" max="4" min="4" style="0" width="30"/>
    <col collapsed="false" customWidth="true" hidden="false" outlineLevel="0" max="5" min="5" style="0" width="22"/>
    <col collapsed="false" customWidth="true" hidden="false" outlineLevel="0" max="6" min="6" style="0" width="44"/>
    <col collapsed="false" customWidth="true" hidden="false" outlineLevel="0" max="7" min="7" style="0" width="3"/>
    <col collapsed="false" customWidth="true" hidden="false" outlineLevel="0" max="8" min="8" style="0" width="16"/>
    <col collapsed="false" customWidth="true" hidden="false" outlineLevel="0" max="9" min="9" style="0" width="20"/>
    <col collapsed="false" customWidth="true" hidden="false" outlineLevel="0" max="10" min="10" style="0" width="12"/>
    <col collapsed="false" customWidth="true" hidden="false" outlineLevel="0" max="11" min="11" style="0" width="3"/>
    <col collapsed="false" customWidth="true" hidden="false" outlineLevel="0" max="12" min="12" style="0" width="32"/>
    <col collapsed="false" customWidth="true" hidden="false" outlineLevel="0" max="13" min="13" style="0" width="3"/>
    <col collapsed="false" customWidth="true" hidden="false" outlineLevel="0" max="14" min="14" style="0" width="32"/>
    <col collapsed="false" customWidth="true" hidden="false" outlineLevel="0" max="15" min="15" style="0" width="3"/>
    <col collapsed="false" customWidth="true" hidden="false" outlineLevel="0" max="16" min="16" style="0" width="16"/>
    <col collapsed="false" customWidth="true" hidden="false" outlineLevel="0" max="17" min="17" style="0" width="3"/>
    <col collapsed="false" customWidth="true" hidden="false" outlineLevel="0" max="18" min="18" style="0" width="16"/>
  </cols>
  <sheetData>
    <row r="1" customFormat="false" ht="19.7" hidden="false" customHeight="false" outlineLevel="0" collapsed="false">
      <c r="A1" s="1" t="s">
        <v>359</v>
      </c>
    </row>
    <row r="2" customFormat="false" ht="15" hidden="false" customHeight="false" outlineLevel="0" collapsed="false">
      <c r="A2" s="2" t="s">
        <v>360</v>
      </c>
    </row>
    <row r="3" customFormat="false" ht="31.5" hidden="false" customHeight="true" outlineLevel="0" collapsed="false">
      <c r="A3" s="11" t="s">
        <v>55</v>
      </c>
      <c r="B3" s="11" t="s">
        <v>82</v>
      </c>
      <c r="D3" s="42" t="s">
        <v>361</v>
      </c>
      <c r="E3" s="42" t="s">
        <v>362</v>
      </c>
      <c r="F3" s="42" t="s">
        <v>363</v>
      </c>
      <c r="H3" s="42" t="s">
        <v>364</v>
      </c>
      <c r="I3" s="42" t="s">
        <v>191</v>
      </c>
      <c r="J3" s="42" t="s">
        <v>192</v>
      </c>
      <c r="L3" s="38" t="s">
        <v>365</v>
      </c>
      <c r="N3" s="38" t="s">
        <v>366</v>
      </c>
      <c r="P3" s="38" t="s">
        <v>367</v>
      </c>
      <c r="R3" s="38" t="s">
        <v>368</v>
      </c>
    </row>
    <row r="4" customFormat="false" ht="15" hidden="false" customHeight="false" outlineLevel="0" collapsed="false">
      <c r="A4" s="15" t="s">
        <v>98</v>
      </c>
      <c r="B4" s="43" t="n">
        <v>2</v>
      </c>
      <c r="D4" s="15" t="s">
        <v>47</v>
      </c>
      <c r="E4" s="44" t="n">
        <f aca="true">TODAY()</f>
        <v>46297</v>
      </c>
      <c r="F4" s="15" t="s">
        <v>369</v>
      </c>
      <c r="H4" s="43" t="s">
        <v>196</v>
      </c>
      <c r="I4" s="43" t="s">
        <v>370</v>
      </c>
      <c r="J4" s="43" t="n">
        <v>75</v>
      </c>
      <c r="L4" s="45" t="n">
        <v>46023</v>
      </c>
      <c r="N4" s="43" t="s">
        <v>95</v>
      </c>
      <c r="P4" s="43" t="s">
        <v>162</v>
      </c>
      <c r="R4" s="43" t="s">
        <v>177</v>
      </c>
    </row>
    <row r="5" customFormat="false" ht="15" hidden="false" customHeight="false" outlineLevel="0" collapsed="false">
      <c r="A5" s="15" t="s">
        <v>92</v>
      </c>
      <c r="B5" s="43" t="n">
        <v>1</v>
      </c>
      <c r="D5" s="15" t="s">
        <v>371</v>
      </c>
      <c r="E5" s="43" t="n">
        <v>1500</v>
      </c>
      <c r="F5" s="15" t="s">
        <v>372</v>
      </c>
      <c r="H5" s="43" t="s">
        <v>373</v>
      </c>
      <c r="I5" s="43" t="s">
        <v>374</v>
      </c>
      <c r="J5" s="43" t="n">
        <v>100</v>
      </c>
      <c r="L5" s="45" t="n">
        <v>46055</v>
      </c>
      <c r="N5" s="43" t="s">
        <v>110</v>
      </c>
      <c r="P5" s="43" t="s">
        <v>175</v>
      </c>
      <c r="R5" s="43" t="s">
        <v>174</v>
      </c>
    </row>
    <row r="6" customFormat="false" ht="15" hidden="false" customHeight="false" outlineLevel="0" collapsed="false">
      <c r="A6" s="15" t="s">
        <v>103</v>
      </c>
      <c r="B6" s="43" t="n">
        <v>3</v>
      </c>
      <c r="D6" s="15" t="s">
        <v>375</v>
      </c>
      <c r="E6" s="43" t="n">
        <v>1500</v>
      </c>
      <c r="F6" s="15" t="s">
        <v>372</v>
      </c>
      <c r="H6" s="43" t="s">
        <v>376</v>
      </c>
      <c r="I6" s="43" t="s">
        <v>377</v>
      </c>
      <c r="J6" s="43" t="n">
        <v>60</v>
      </c>
      <c r="L6" s="45" t="n">
        <v>46098</v>
      </c>
      <c r="N6" s="43" t="s">
        <v>117</v>
      </c>
      <c r="P6" s="43" t="s">
        <v>378</v>
      </c>
    </row>
    <row r="7" customFormat="false" ht="15" hidden="false" customHeight="false" outlineLevel="0" collapsed="false">
      <c r="A7" s="15" t="s">
        <v>108</v>
      </c>
      <c r="B7" s="43" t="n">
        <v>4</v>
      </c>
      <c r="D7" s="15" t="s">
        <v>379</v>
      </c>
      <c r="E7" s="43" t="n">
        <v>4</v>
      </c>
      <c r="F7" s="15" t="s">
        <v>380</v>
      </c>
      <c r="H7" s="43" t="s">
        <v>199</v>
      </c>
      <c r="I7" s="43" t="s">
        <v>374</v>
      </c>
      <c r="J7" s="43" t="n">
        <v>150</v>
      </c>
      <c r="L7" s="45" t="n">
        <v>46118</v>
      </c>
      <c r="N7" s="43" t="s">
        <v>114</v>
      </c>
      <c r="P7" s="43" t="s">
        <v>161</v>
      </c>
    </row>
    <row r="8" customFormat="false" ht="15" hidden="false" customHeight="false" outlineLevel="0" collapsed="false">
      <c r="A8" s="15" t="s">
        <v>113</v>
      </c>
      <c r="B8" s="43" t="n">
        <v>2</v>
      </c>
      <c r="D8" s="15" t="s">
        <v>381</v>
      </c>
      <c r="E8" s="43" t="n">
        <v>24</v>
      </c>
      <c r="F8" s="15" t="s">
        <v>382</v>
      </c>
      <c r="H8" s="43" t="s">
        <v>383</v>
      </c>
      <c r="I8" s="43" t="s">
        <v>377</v>
      </c>
      <c r="J8" s="43" t="n">
        <v>50</v>
      </c>
      <c r="L8" s="45" t="n">
        <v>46146</v>
      </c>
      <c r="N8" s="43" t="s">
        <v>105</v>
      </c>
    </row>
    <row r="9" customFormat="false" ht="15" hidden="false" customHeight="false" outlineLevel="0" collapsed="false">
      <c r="A9" s="15" t="s">
        <v>116</v>
      </c>
      <c r="B9" s="43" t="n">
        <v>3</v>
      </c>
      <c r="D9" s="15" t="s">
        <v>384</v>
      </c>
      <c r="E9" s="43" t="n">
        <v>90</v>
      </c>
      <c r="F9" s="15" t="s">
        <v>385</v>
      </c>
      <c r="L9" s="45" t="n">
        <v>46174</v>
      </c>
    </row>
    <row r="10" customFormat="false" ht="15" hidden="false" customHeight="false" outlineLevel="0" collapsed="false">
      <c r="A10" s="15" t="s">
        <v>386</v>
      </c>
      <c r="B10" s="43" t="n">
        <v>3</v>
      </c>
      <c r="D10" s="15" t="s">
        <v>387</v>
      </c>
      <c r="E10" s="43" t="n">
        <v>15</v>
      </c>
      <c r="F10" s="15" t="s">
        <v>385</v>
      </c>
      <c r="L10" s="45" t="n">
        <v>46237</v>
      </c>
    </row>
    <row r="11" customFormat="false" ht="15" hidden="false" customHeight="false" outlineLevel="0" collapsed="false">
      <c r="D11" s="15" t="s">
        <v>388</v>
      </c>
      <c r="E11" s="43" t="s">
        <v>389</v>
      </c>
      <c r="F11" s="15" t="s">
        <v>390</v>
      </c>
      <c r="L11" s="45" t="n">
        <v>46321</v>
      </c>
    </row>
    <row r="12" customFormat="false" ht="15" hidden="false" customHeight="false" outlineLevel="0" collapsed="false">
      <c r="L12" s="45" t="n">
        <v>46381</v>
      </c>
    </row>
    <row r="13" customFormat="false" ht="15" hidden="false" customHeight="false" outlineLevel="0" collapsed="false">
      <c r="L13" s="45" t="n">
        <v>46382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2026-10-02T03:48:21Z</dcterms:created>
  <dc:creator>openpyxl</dc:creator>
  <dc:description/>
  <dc:language>en-US</dc:language>
  <cp:lastModifiedBy/>
  <dcterms:modified xsi:type="dcterms:W3CDTF">2026-10-02T03:48:24Z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